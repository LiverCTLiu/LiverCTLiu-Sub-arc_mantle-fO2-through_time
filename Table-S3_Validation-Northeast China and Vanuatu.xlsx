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1年博士以来\本人论文\岛弧研究\弧氧逸度\显生宙-元古宙-太古宙弧地幔氧逸度演化\Github附件\"/>
    </mc:Choice>
  </mc:AlternateContent>
  <xr:revisionPtr revIDLastSave="0" documentId="13_ncr:1_{BB811123-8C63-40C6-942C-2AE2B03A94C9}" xr6:coauthVersionLast="47" xr6:coauthVersionMax="47" xr10:uidLastSave="{00000000-0000-0000-0000-000000000000}"/>
  <bookViews>
    <workbookView xWindow="-110" yWindow="-110" windowWidth="19420" windowHeight="10300" xr2:uid="{66ED186E-859A-42F8-A9DC-568DBEA50079}"/>
  </bookViews>
  <sheets>
    <sheet name="Northeast China" sheetId="1" r:id="rId1"/>
    <sheet name="Vanuatu arc" sheetId="3" r:id="rId2"/>
  </sheets>
  <definedNames>
    <definedName name="_xlnm._FilterDatabase" localSheetId="0" hidden="1">'Northeast China'!$A$1:$AV$332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R28" i="3" l="1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</calcChain>
</file>

<file path=xl/sharedStrings.xml><?xml version="1.0" encoding="utf-8"?>
<sst xmlns="http://schemas.openxmlformats.org/spreadsheetml/2006/main" count="2576" uniqueCount="526">
  <si>
    <t>Reference</t>
    <phoneticPr fontId="2" type="noConversion"/>
  </si>
  <si>
    <t>location</t>
    <phoneticPr fontId="2" type="noConversion"/>
  </si>
  <si>
    <t>geological setting</t>
    <phoneticPr fontId="2" type="noConversion"/>
  </si>
  <si>
    <t>Latitude</t>
    <phoneticPr fontId="2" type="noConversion"/>
  </si>
  <si>
    <t>Longitude</t>
    <phoneticPr fontId="2" type="noConversion"/>
  </si>
  <si>
    <t>Age</t>
    <phoneticPr fontId="2" type="noConversion"/>
  </si>
  <si>
    <t>Sample</t>
  </si>
  <si>
    <t>Rock type</t>
    <phoneticPr fontId="2" type="noConversion"/>
  </si>
  <si>
    <t>SiO2</t>
    <phoneticPr fontId="2" type="noConversion"/>
  </si>
  <si>
    <t>U</t>
  </si>
  <si>
    <t>Eu</t>
    <phoneticPr fontId="2" type="noConversion"/>
  </si>
  <si>
    <t>Y</t>
  </si>
  <si>
    <t>Yb</t>
    <phoneticPr fontId="2" type="noConversion"/>
  </si>
  <si>
    <t>La/Yb</t>
    <phoneticPr fontId="2" type="noConversion"/>
  </si>
  <si>
    <t>Zhao et al., 2019</t>
    <phoneticPr fontId="2" type="noConversion"/>
  </si>
  <si>
    <t>Northeast China</t>
    <phoneticPr fontId="2" type="noConversion"/>
  </si>
  <si>
    <t>Intraplate volcanics</t>
    <phoneticPr fontId="2" type="noConversion"/>
  </si>
  <si>
    <t>Cenozoic</t>
    <phoneticPr fontId="2" type="noConversion"/>
  </si>
  <si>
    <t>s_JB-1 [12018]</t>
  </si>
  <si>
    <t>BASALT, ALKALINE [12018]</t>
  </si>
  <si>
    <t>s_JB-2 [12018]</t>
  </si>
  <si>
    <t>s_JB-5 [12018]</t>
  </si>
  <si>
    <t>s_JB-7 [12018]</t>
  </si>
  <si>
    <t>s_JB-8 [12018]</t>
  </si>
  <si>
    <t>s_JB-9 [12018]</t>
  </si>
  <si>
    <t>s_JB-11 [12018]</t>
  </si>
  <si>
    <t>s_JB-12 [12018]</t>
  </si>
  <si>
    <t>s_JB-14 [12018]</t>
  </si>
  <si>
    <t>s_JB-15 [12018]</t>
  </si>
  <si>
    <t>s_JB-16A [12018]</t>
  </si>
  <si>
    <t>s_JB-16B [12018]</t>
  </si>
  <si>
    <t>s_JB-17 [12018]</t>
  </si>
  <si>
    <t>s_JB-18 [12018]</t>
  </si>
  <si>
    <t>s_JB-19 [12018]</t>
  </si>
  <si>
    <t>s_JB-20 [12018]</t>
  </si>
  <si>
    <t>s_JB-21 [12018]</t>
  </si>
  <si>
    <t>s_JB-22 [12018]</t>
  </si>
  <si>
    <t>s_JB-23 [12018]</t>
  </si>
  <si>
    <t>s_JB-24 [12018]</t>
  </si>
  <si>
    <t>s_JB-25 [12018]</t>
  </si>
  <si>
    <t>s_JB-26 [12018]</t>
  </si>
  <si>
    <t>s_JB-27 [12018]</t>
  </si>
  <si>
    <t>s_J01 [8729]</t>
  </si>
  <si>
    <t>BASANITE [8729]</t>
  </si>
  <si>
    <t>s_J02 [8729]</t>
  </si>
  <si>
    <t>s_J03 [8729]</t>
  </si>
  <si>
    <t>s_J04 [8729]</t>
  </si>
  <si>
    <t>s_J05 [8729]</t>
  </si>
  <si>
    <t>s_J06 [8729]</t>
  </si>
  <si>
    <t>s_JBH-1 [22270]</t>
  </si>
  <si>
    <t>BASANITE [22270]</t>
  </si>
  <si>
    <t>s_JBH-2 [22270]</t>
  </si>
  <si>
    <t>BASALT, ALKALINE [22270]</t>
  </si>
  <si>
    <t>s_JBH-3 [22270]</t>
  </si>
  <si>
    <t>s_J99821-1 [12551]</t>
  </si>
  <si>
    <t>BASANITE [12551]</t>
  </si>
  <si>
    <t>s_J99821-5 [12551]</t>
  </si>
  <si>
    <t>s_J99822-1 [12551]</t>
  </si>
  <si>
    <t>PHONOTEPHRITE [12551]</t>
  </si>
  <si>
    <t>s_J99823-1 [12551]</t>
  </si>
  <si>
    <t>s_J99824-1 [12551]</t>
  </si>
  <si>
    <t>s_JB11-11 [12551]</t>
  </si>
  <si>
    <t>s_91J01 [8711]</t>
  </si>
  <si>
    <t>BASALT, ALKALINE, OLIVINE [8711]</t>
  </si>
  <si>
    <t>s_91J02 [8711]</t>
  </si>
  <si>
    <t>BASANITE [8711]</t>
  </si>
  <si>
    <t>s_91J03 [8711]</t>
  </si>
  <si>
    <t>s_DX-10 [12223]</t>
  </si>
  <si>
    <t>BASALT, ALKALINE, OLIVINE [12223]</t>
  </si>
  <si>
    <t>s_DX1-16 [12223]</t>
  </si>
  <si>
    <t>BASANITE [12223] / BASALT [12186]</t>
  </si>
  <si>
    <t>s_DX1-26 [12223]</t>
  </si>
  <si>
    <t>BASANITE [12223]</t>
  </si>
  <si>
    <t>s_DX-13 [12223]</t>
  </si>
  <si>
    <t>s_DX1-4 [12223]</t>
  </si>
  <si>
    <t>s_DX-2 [12223]</t>
  </si>
  <si>
    <t>s_HM-11 [12223]</t>
  </si>
  <si>
    <t>TEPHRITE [12223]</t>
  </si>
  <si>
    <t>s_HM-3 [12223]</t>
  </si>
  <si>
    <t>s_HM-5 [12223]</t>
  </si>
  <si>
    <t>s_JP-2 [12223]</t>
  </si>
  <si>
    <t>s_JP-3 [12223]</t>
  </si>
  <si>
    <t>s_RY-1 [12223]</t>
  </si>
  <si>
    <t>s_WD2-5 [12223]</t>
  </si>
  <si>
    <t>s_CB1 [20416]</t>
  </si>
  <si>
    <t>TRACHYBASALT [20416]</t>
  </si>
  <si>
    <t>s_BD-17 [21087]</t>
  </si>
  <si>
    <t>TRACHYBASALT [21087]</t>
  </si>
  <si>
    <t>s_BD-21A [21087]</t>
  </si>
  <si>
    <t>s_BD-22 [21087]</t>
  </si>
  <si>
    <t>BASALT [21087]</t>
  </si>
  <si>
    <t>s_BDH-01 [21087]</t>
  </si>
  <si>
    <t>ANDESITE, BASALTIC [21087]</t>
  </si>
  <si>
    <t>s_CBS-1 [22270]</t>
  </si>
  <si>
    <t>s_CBS-2 [22270]</t>
  </si>
  <si>
    <t>s_CBS-3 [22270]</t>
  </si>
  <si>
    <t>s_CBS-10B [22270]</t>
  </si>
  <si>
    <t>s_CBS-28 [22270]</t>
  </si>
  <si>
    <t>THOLEIITE [22270]</t>
  </si>
  <si>
    <t>s_CBS-29 [22270]</t>
  </si>
  <si>
    <t>s_JY-1 [22270]</t>
  </si>
  <si>
    <t>s_JY-3 [22270]</t>
  </si>
  <si>
    <t>s_JY-6 [22270]</t>
  </si>
  <si>
    <t>s_JY-7 [22270]</t>
  </si>
  <si>
    <t>s_P-505/1 [11849]</t>
  </si>
  <si>
    <t>BASALT, ALKALINE [11849]</t>
  </si>
  <si>
    <t>s_HAKU-2 [13662]</t>
  </si>
  <si>
    <t>BASALT [13662]</t>
  </si>
  <si>
    <t>s_HAKU-4 [13662]</t>
  </si>
  <si>
    <t>s_HAKU-9 [13662]</t>
  </si>
  <si>
    <t>s_HAKU-10 [13662]</t>
  </si>
  <si>
    <t>s_HAKU-20 [13662]</t>
  </si>
  <si>
    <t>s_HAKU-27 [13662]</t>
  </si>
  <si>
    <t>s_HAKU-32B [13662]</t>
  </si>
  <si>
    <t>s_HAKU-34 [13662]</t>
  </si>
  <si>
    <t>s_HAKU-1A [13662]</t>
  </si>
  <si>
    <t>s_HAKU-25 [13662]</t>
  </si>
  <si>
    <t>s_HAKU-26 [13662]</t>
  </si>
  <si>
    <t>s_HAKU-30B [13662]</t>
  </si>
  <si>
    <t>s_HAKU-7 [13662]</t>
  </si>
  <si>
    <t>s_1 [18543]</t>
  </si>
  <si>
    <t>BASALT [18543]</t>
  </si>
  <si>
    <t>s_2 [18543]</t>
  </si>
  <si>
    <t>TRACHYBASALT [18543]</t>
  </si>
  <si>
    <t>s_LG 9940 [12551]</t>
  </si>
  <si>
    <t>TRACHYBASALT [12551]</t>
  </si>
  <si>
    <t>s_HJ97001A [12551]</t>
  </si>
  <si>
    <t>s_HJ97034 [12551]</t>
  </si>
  <si>
    <t>s_HJ97044 [12551]</t>
  </si>
  <si>
    <t>s_LG-1 [12193]</t>
  </si>
  <si>
    <t>BASALT [12193]</t>
  </si>
  <si>
    <t>s_LG-3 [12193]</t>
  </si>
  <si>
    <t>s_LG-5-2 [12193]</t>
  </si>
  <si>
    <t>s_LG-11 [12193]</t>
  </si>
  <si>
    <t>s_LG-14 [12193]</t>
  </si>
  <si>
    <t>s_LG-20-1 [12193]</t>
  </si>
  <si>
    <t>s_LG-24 [12193]</t>
  </si>
  <si>
    <t>s_LG-25 [12193]</t>
  </si>
  <si>
    <t>s_HJ97001 [13407]</t>
  </si>
  <si>
    <t>TRACHYBASALT [13407]</t>
  </si>
  <si>
    <t>s_HJ97021 [13407]</t>
  </si>
  <si>
    <t>s_HJ97023 [13407]</t>
  </si>
  <si>
    <t>s_HJ97025 [13407]</t>
  </si>
  <si>
    <t>s_HJ97033 [13407]</t>
  </si>
  <si>
    <t>s_HJ97042 [13407]</t>
  </si>
  <si>
    <t>s_HJ97046 [13407]</t>
  </si>
  <si>
    <t>s_HJ97048 [13407]</t>
  </si>
  <si>
    <t>s_10HLJ24              [20551]</t>
  </si>
  <si>
    <t>NOT GIVEN [20551]</t>
  </si>
  <si>
    <t>s_10HLJ26           [20551]</t>
  </si>
  <si>
    <t>s_10HLJ17              [20551]</t>
  </si>
  <si>
    <t>s_06WD14              [20551]</t>
  </si>
  <si>
    <t>s_06WD30               [20551]</t>
  </si>
  <si>
    <t>s_10HLJ20              [20551]</t>
  </si>
  <si>
    <t>s_10HLJ22              [20551]</t>
  </si>
  <si>
    <t>s_WDLC01 [20873]</t>
  </si>
  <si>
    <t>BASALT [20873]</t>
  </si>
  <si>
    <t>s_WDLC02 [20873]</t>
  </si>
  <si>
    <t>s_WDLC03 [20873]</t>
  </si>
  <si>
    <t>s_WDLC04 [20873]</t>
  </si>
  <si>
    <t>s_WDLC06 [20873]</t>
  </si>
  <si>
    <t>s_WDLC07 [20873]</t>
  </si>
  <si>
    <t>s_WDLC12 [20873]</t>
  </si>
  <si>
    <t>s_WDLC15 [20873]</t>
  </si>
  <si>
    <t>s_13NM07 [20923]</t>
  </si>
  <si>
    <t>BASANITE [20923]</t>
  </si>
  <si>
    <t>s_13NM08 [20923]</t>
  </si>
  <si>
    <t>PHONOTEPHRITE [20923]</t>
  </si>
  <si>
    <t>s_13NM11 [20923]</t>
  </si>
  <si>
    <t>s_13NM16 [20923]</t>
  </si>
  <si>
    <t>s_13NM17 [20923]</t>
  </si>
  <si>
    <t>s_13NM20 [20923]</t>
  </si>
  <si>
    <t>s_13NM22 [20923]</t>
  </si>
  <si>
    <t>s_13NM23 [20923]</t>
  </si>
  <si>
    <t>s_13NM24 [20923]</t>
  </si>
  <si>
    <t>s_13NM28 [20923]</t>
  </si>
  <si>
    <t>s_13NM29 [20923]</t>
  </si>
  <si>
    <t>TRACHYBASALT [20923]</t>
  </si>
  <si>
    <t>s_13NM30 [20923]</t>
  </si>
  <si>
    <t>s_13NM05 [20923]</t>
  </si>
  <si>
    <t>s_13NM13 [20923]</t>
  </si>
  <si>
    <t>s_13NM18 [20923]</t>
  </si>
  <si>
    <t>s_13NM27 [20923]</t>
  </si>
  <si>
    <t>s_13NM34 [20923]</t>
  </si>
  <si>
    <t>s_LE6-4 [7711]</t>
  </si>
  <si>
    <t>BASALT [7711]</t>
  </si>
  <si>
    <t>s_LW5-2 [7711]</t>
  </si>
  <si>
    <t>s_HS2-2 [7711]</t>
  </si>
  <si>
    <t>s_HN6-1 [7711]</t>
  </si>
  <si>
    <t>s_RB53 [12061]</t>
  </si>
  <si>
    <t>BASANITE, LEUCITE [12061]</t>
  </si>
  <si>
    <t>s_A-65 [12057]</t>
  </si>
  <si>
    <t>BASANITE, LEUCITE [12057]</t>
  </si>
  <si>
    <t>s_H-38 [12057]</t>
  </si>
  <si>
    <t>s_91W02 [8711]</t>
  </si>
  <si>
    <t>s_H-07-14 [15740]</t>
  </si>
  <si>
    <t>TRACHYANDESITE, BASALTIC [15740]</t>
  </si>
  <si>
    <t>s_H-07-1 [15740]</t>
  </si>
  <si>
    <t>PHONOTEPHRITE [15740]</t>
  </si>
  <si>
    <t>s_H-07-2 [15740]</t>
  </si>
  <si>
    <t>s_H-07-3 [15740]</t>
  </si>
  <si>
    <t>s_H-07-5 [15740]</t>
  </si>
  <si>
    <t>s_H-07-6 [15740]</t>
  </si>
  <si>
    <t>s_H-07-7 [15740]</t>
  </si>
  <si>
    <t>s_H-07-8 [15740]</t>
  </si>
  <si>
    <t>s_H-07-9 [15740]</t>
  </si>
  <si>
    <t>s_H-07-10 [15740]</t>
  </si>
  <si>
    <t>s_H-07-12 [15740]</t>
  </si>
  <si>
    <t>s_H-07-13 [15740]</t>
  </si>
  <si>
    <t>s_H-07-16A [15740]</t>
  </si>
  <si>
    <t>s_H-07-16 [15740]</t>
  </si>
  <si>
    <t>s_H-07-17 [15740]</t>
  </si>
  <si>
    <t>s_H-07-18 [15740]</t>
  </si>
  <si>
    <t>s_H-07-19 [15740]</t>
  </si>
  <si>
    <t>s_LAO-09-1 [15740]</t>
  </si>
  <si>
    <t>s_LAVA [19921]</t>
  </si>
  <si>
    <t>NOT GIVEN [19921]</t>
  </si>
  <si>
    <t>s_YQ4 [17892]</t>
  </si>
  <si>
    <t>BASALT [17892]</t>
  </si>
  <si>
    <t>s_YQ7 [17892]</t>
  </si>
  <si>
    <t>s_YQ8 [17892]</t>
  </si>
  <si>
    <t>s_LHS1 [17892]</t>
  </si>
  <si>
    <t>s_LHS3 [17892]</t>
  </si>
  <si>
    <t>s_LHS4 [17892]</t>
  </si>
  <si>
    <t>s_HSS6 [17892]</t>
  </si>
  <si>
    <t>s_CH-07-1 [15740]</t>
  </si>
  <si>
    <t>TRACHYBASALT [15740]</t>
  </si>
  <si>
    <t>s_CH-07-2 [15740]</t>
  </si>
  <si>
    <t>BASALT [15740]</t>
  </si>
  <si>
    <t>s_CH-07-3 [15740]</t>
  </si>
  <si>
    <t>s_CH-07-4 [15740]</t>
  </si>
  <si>
    <t>s_CH-07-5 [15740]</t>
  </si>
  <si>
    <t>s_CH-07-6 [15740]</t>
  </si>
  <si>
    <t>s_CH-07-7 [15740]</t>
  </si>
  <si>
    <t>s_CH-07-9 [15740]</t>
  </si>
  <si>
    <t>s_CH-07-10 [15740]</t>
  </si>
  <si>
    <t>s_CH-07-11A [15740]</t>
  </si>
  <si>
    <t>s_CH-07-12A [15740]</t>
  </si>
  <si>
    <t>s_CH-07-12B [15740]</t>
  </si>
  <si>
    <t>s_H-07-20 [15740]</t>
  </si>
  <si>
    <t>s_08NM01 [18460]</t>
  </si>
  <si>
    <t>NOT GIVEN [18460]</t>
  </si>
  <si>
    <t>s_08NM05 [18460]</t>
  </si>
  <si>
    <t>s_08NM06 [18460]</t>
  </si>
  <si>
    <t>s_08NM07 [18460]</t>
  </si>
  <si>
    <t>s_08NM08 [18460]</t>
  </si>
  <si>
    <t>s_08NM17 [18460]</t>
  </si>
  <si>
    <t>s_08NM11 [18460]</t>
  </si>
  <si>
    <t>s_08NM20 [18460]</t>
  </si>
  <si>
    <t>s_08NM04 [18460]</t>
  </si>
  <si>
    <t>s_08NM22 [18460]</t>
  </si>
  <si>
    <t>s_08NM12 [18460]</t>
  </si>
  <si>
    <t>s_08NM19 [18460]</t>
  </si>
  <si>
    <t>s_08NM24 [18460]</t>
  </si>
  <si>
    <t>s_08NM15 [18460]</t>
  </si>
  <si>
    <t>s_08NM16 [18460]</t>
  </si>
  <si>
    <t>s_XHLB-1 [16518]</t>
  </si>
  <si>
    <t>BASALT, ALKALINE, OLIVINE [16518]</t>
  </si>
  <si>
    <t>s_XHLB-5 [16518]</t>
  </si>
  <si>
    <t>s_XHLB-7 [16518]</t>
  </si>
  <si>
    <t>s_XTJ-1 [16518]</t>
  </si>
  <si>
    <t>BASALT, TRANSITIONAL [16518]</t>
  </si>
  <si>
    <t>s_XTJ-2 [16518]</t>
  </si>
  <si>
    <t>s_XTJ-6 [16518]</t>
  </si>
  <si>
    <t>s_XTJ-4 [16518]</t>
  </si>
  <si>
    <t>s_XTEJ-2 [19525]</t>
  </si>
  <si>
    <t>BASALT, TRANSITIONAL [19525]</t>
  </si>
  <si>
    <t>s_XTEJ-4 [19525]</t>
  </si>
  <si>
    <t>s_BLS-6 [19525]</t>
  </si>
  <si>
    <t>BASANITE [19525]</t>
  </si>
  <si>
    <t>s_BLS-8 [19525]</t>
  </si>
  <si>
    <t>s_DHLB-10 [19525]</t>
  </si>
  <si>
    <t>BASALT, ALKALINE, OLIVINE [19525]</t>
  </si>
  <si>
    <t>s_DHLB-4 [19525]</t>
  </si>
  <si>
    <t>s_DHLB-5 [19525]</t>
  </si>
  <si>
    <t>s_DHLB-9 [19525]</t>
  </si>
  <si>
    <t>s_BLS-1 [16518]</t>
  </si>
  <si>
    <t>BASANITE [16518]</t>
  </si>
  <si>
    <t>s_BLS-2 [16518]</t>
  </si>
  <si>
    <t>s_DHLB-1 [16518]</t>
  </si>
  <si>
    <t>s_DHLB-8 [16518]</t>
  </si>
  <si>
    <t>s_YJQD-10 [20036]</t>
  </si>
  <si>
    <t>BASALT [20036]</t>
  </si>
  <si>
    <t>s_XLM-17 [20036]</t>
  </si>
  <si>
    <t>s_DMN-03 [20036]</t>
  </si>
  <si>
    <t>s_DMB-15 [20036]</t>
  </si>
  <si>
    <t>s_DMB-12 [20036]</t>
  </si>
  <si>
    <t>s_XLM-07 [20036]</t>
  </si>
  <si>
    <t>s_SM-09 [20036]</t>
  </si>
  <si>
    <t>s_DMB-09 [20036]</t>
  </si>
  <si>
    <t>s_DMN-08 [20036]</t>
  </si>
  <si>
    <t>s_DMN-05 [20036]</t>
  </si>
  <si>
    <t>s_DMB-01 [20036]</t>
  </si>
  <si>
    <t>s_DMN-07 [20036]</t>
  </si>
  <si>
    <t>s_DMB-06 [20036]</t>
  </si>
  <si>
    <t>s_SM-06 [20036]</t>
  </si>
  <si>
    <t>s_DMB-35 [20036]</t>
  </si>
  <si>
    <t>s_11BCH07 [19710]</t>
  </si>
  <si>
    <t>BASALT [19710]</t>
  </si>
  <si>
    <t>s_11BCH09 [19710]</t>
  </si>
  <si>
    <t>s_11BCH04 [19710]</t>
  </si>
  <si>
    <t>s_11BCH08 [19710]</t>
  </si>
  <si>
    <t>s_11BCH06 [19710]</t>
  </si>
  <si>
    <t>s_11BCH05 [19710]</t>
  </si>
  <si>
    <t>s_11BCH03 [19710]</t>
  </si>
  <si>
    <t>s_11BCH02 [19710]</t>
  </si>
  <si>
    <t>s_11BCH01 [19710]</t>
  </si>
  <si>
    <t>s_XD10-2 [17039]</t>
  </si>
  <si>
    <t>BASALT, THOLEIITIC [17039]</t>
  </si>
  <si>
    <t>s_XD10-1 [17039]</t>
  </si>
  <si>
    <t>s_XD10-5 [17039]</t>
  </si>
  <si>
    <t>s_XD10-3 [17039]</t>
  </si>
  <si>
    <t>s_XD10-4 [17039]</t>
  </si>
  <si>
    <t>s_ABG-00 [20036]</t>
  </si>
  <si>
    <t>s_ABG-06 [20036]</t>
  </si>
  <si>
    <t>s_ABGD-01 [20036]</t>
  </si>
  <si>
    <t>s_ABGD-04 [20036]</t>
  </si>
  <si>
    <t>s_YHN-02 [20036]</t>
  </si>
  <si>
    <t>s_YHN-07 [20036]</t>
  </si>
  <si>
    <t>s_YHN-10 [20036]</t>
  </si>
  <si>
    <t>s_YHN-14 [20036]</t>
  </si>
  <si>
    <t>s_GGW-01 [20036]</t>
  </si>
  <si>
    <t>s_GGW-03 [20036]</t>
  </si>
  <si>
    <t>s_GGW-04 [20036]</t>
  </si>
  <si>
    <t>s_GGW-07 [20036]</t>
  </si>
  <si>
    <t>s_GGW-12 [20036]</t>
  </si>
  <si>
    <t>s_GGW-14 [20036]</t>
  </si>
  <si>
    <t>s_GGW-15 [20036]</t>
  </si>
  <si>
    <t>s_HTL-03 [20036]</t>
  </si>
  <si>
    <t>s_HTL-04 [20036]</t>
  </si>
  <si>
    <t>s_100914-2 [20509]</t>
  </si>
  <si>
    <t>BASALT, ALKALINE [20509]</t>
  </si>
  <si>
    <t>s_100916-4 [20509]</t>
  </si>
  <si>
    <t>s_09ABG01 [19871]</t>
  </si>
  <si>
    <t>BASALT, ALKALINE [19871]</t>
  </si>
  <si>
    <t>s_09ABG08 [19871]</t>
  </si>
  <si>
    <t>s_09ABG19 [19871]</t>
  </si>
  <si>
    <t>s_09ABG09 [19871]</t>
  </si>
  <si>
    <t>s_09ABG10 [19871]</t>
  </si>
  <si>
    <t>s_09ABG16 [19871]</t>
  </si>
  <si>
    <t>s_09ABG18 [19871]</t>
  </si>
  <si>
    <t>s_10ABG07 [19871]</t>
  </si>
  <si>
    <t>s_09ABG20 [19871]</t>
  </si>
  <si>
    <t>THOLEIITE [19871]</t>
  </si>
  <si>
    <t>s_09ABG03 [19871]</t>
  </si>
  <si>
    <t>s_09ABG02 [19871]</t>
  </si>
  <si>
    <t>s_09ABG05 [19871]</t>
  </si>
  <si>
    <t>s_09ABG15 [19871]</t>
  </si>
  <si>
    <t>s_07AES02 [17904]</t>
  </si>
  <si>
    <t>BASALT, ALKALINE, OLIVINE [17904]</t>
  </si>
  <si>
    <t>s_08AES04 [17904]</t>
  </si>
  <si>
    <t>s_TC-01 [17526]</t>
  </si>
  <si>
    <t>BASALT, ALKALINE, OLIVINE [17526]</t>
  </si>
  <si>
    <t>s_TC-02 [17526]</t>
  </si>
  <si>
    <t>THOLEIITE, OLIVINE [17526]</t>
  </si>
  <si>
    <t>s_TC-03 [17526]</t>
  </si>
  <si>
    <t>s_TC-04 [17526]</t>
  </si>
  <si>
    <t>s_TC-05 [17526]</t>
  </si>
  <si>
    <t>s_TC-06 [17526]</t>
  </si>
  <si>
    <t>s_CH-02 [17526]</t>
  </si>
  <si>
    <t>s_CH-04 [17526]</t>
  </si>
  <si>
    <t>s_CH-06 [17526]</t>
  </si>
  <si>
    <t>s_CH-08 [17526]</t>
  </si>
  <si>
    <t>s_CH-09 [17526]</t>
  </si>
  <si>
    <t>s_CH-10 [17526]</t>
  </si>
  <si>
    <t>s_CH-12 [17526]</t>
  </si>
  <si>
    <t>s_CH-13 [17526]</t>
  </si>
  <si>
    <t>s_07AES06 [17904]</t>
  </si>
  <si>
    <t>s_07AES07 [17904]</t>
  </si>
  <si>
    <t>s_07AES08 [17904]</t>
  </si>
  <si>
    <t>s_07AES09 [17904]</t>
  </si>
  <si>
    <t>s_07CH15 [17904]</t>
  </si>
  <si>
    <t>s_08AES01 [17904]</t>
  </si>
  <si>
    <t>s_07CH01 [17904]</t>
  </si>
  <si>
    <t>s_07CH02 [17904]</t>
  </si>
  <si>
    <t>s_07AES10 [17904]</t>
  </si>
  <si>
    <t>s_07AES16 [17904]</t>
  </si>
  <si>
    <t>s_CEH-2 [20748]</t>
  </si>
  <si>
    <t>BASALT [20748]</t>
  </si>
  <si>
    <t>s_CEH-3 [20748]</t>
  </si>
  <si>
    <t>s_CEH-5 [20748]</t>
  </si>
  <si>
    <t>s_CEH-8 [20748]</t>
  </si>
  <si>
    <t>s_CEH-11 [20748]</t>
  </si>
  <si>
    <t>s_CEH-12 [20748]</t>
  </si>
  <si>
    <t>s_DLH-1 [20748]</t>
  </si>
  <si>
    <t>s_DLH-2 [20748]</t>
  </si>
  <si>
    <t>s_DLH-6 [20748]</t>
  </si>
  <si>
    <t>s_DLH-7 [20748]</t>
  </si>
  <si>
    <t>s_DLH-10 [20748]</t>
  </si>
  <si>
    <t>s_YLTC-1 [20748]</t>
  </si>
  <si>
    <t>s_YLTC-3 [20748]</t>
  </si>
  <si>
    <t>s_TFL1-3 [20748]</t>
  </si>
  <si>
    <t>s_TFL1-7 [20748]</t>
  </si>
  <si>
    <t>s_TFL2-1 [20748]</t>
  </si>
  <si>
    <t>s_TFL2-2 [20748]</t>
  </si>
  <si>
    <t>s_TFL2-5 [20748]</t>
  </si>
  <si>
    <t>s_DXG-2 [20748]</t>
  </si>
  <si>
    <t>s_DXG-4 [20748]</t>
  </si>
  <si>
    <t>s_DXG-7 [20748]</t>
  </si>
  <si>
    <t>s_GBS-1 [20748]</t>
  </si>
  <si>
    <t>s_GBS-3 [20748]</t>
  </si>
  <si>
    <t>s_YTL-3 [20748]</t>
  </si>
  <si>
    <t>s_YTL-7 [20748]</t>
  </si>
  <si>
    <t>s_YTL-10 [20748]</t>
  </si>
  <si>
    <t>Arc or non-arc</t>
    <phoneticPr fontId="2" type="noConversion"/>
  </si>
  <si>
    <t>MnO</t>
    <phoneticPr fontId="2" type="noConversion"/>
  </si>
  <si>
    <t>MgO</t>
  </si>
  <si>
    <t>CaO</t>
  </si>
  <si>
    <r>
      <t>Na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phoneticPr fontId="2" type="noConversion"/>
  </si>
  <si>
    <r>
      <t>K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phoneticPr fontId="2" type="noConversion"/>
  </si>
  <si>
    <t>SC</t>
  </si>
  <si>
    <t>V</t>
  </si>
  <si>
    <t>Cr</t>
  </si>
  <si>
    <t>Ni</t>
  </si>
  <si>
    <t>Cu</t>
  </si>
  <si>
    <t>Zn</t>
  </si>
  <si>
    <t>Rb</t>
  </si>
  <si>
    <t>Sr</t>
  </si>
  <si>
    <t>Pb</t>
  </si>
  <si>
    <t>Th</t>
  </si>
  <si>
    <t>Nb</t>
  </si>
  <si>
    <t>Ta</t>
  </si>
  <si>
    <t>La</t>
  </si>
  <si>
    <t>Ce</t>
  </si>
  <si>
    <t>Sm</t>
    <phoneticPr fontId="2" type="noConversion"/>
  </si>
  <si>
    <t>Eu</t>
  </si>
  <si>
    <t>Ba</t>
  </si>
  <si>
    <t>Zr</t>
  </si>
  <si>
    <t>Hf</t>
    <phoneticPr fontId="2" type="noConversion"/>
  </si>
  <si>
    <t>Ti</t>
  </si>
  <si>
    <t>P</t>
  </si>
  <si>
    <t>La/Yb</t>
  </si>
  <si>
    <t>Zr/Y</t>
  </si>
  <si>
    <t>Nb/Th</t>
  </si>
  <si>
    <t>Nb/La</t>
  </si>
  <si>
    <t>Rb/Nb</t>
  </si>
  <si>
    <t>Sr/Nd</t>
  </si>
  <si>
    <t>Pb/Nb</t>
  </si>
  <si>
    <t>Pb/Nd</t>
  </si>
  <si>
    <t>Ba/Nb</t>
  </si>
  <si>
    <t>Ba/La</t>
  </si>
  <si>
    <t>U/Nb</t>
  </si>
  <si>
    <t>La/Sm</t>
    <phoneticPr fontId="2" type="noConversion"/>
  </si>
  <si>
    <t>Zr/Nb</t>
    <phoneticPr fontId="2" type="noConversion"/>
  </si>
  <si>
    <t>Nb/Yb</t>
  </si>
  <si>
    <t>Non-arc</t>
    <phoneticPr fontId="2" type="noConversion"/>
  </si>
  <si>
    <t>Arc</t>
    <phoneticPr fontId="2" type="noConversion"/>
  </si>
  <si>
    <t>Island</t>
  </si>
  <si>
    <t>Age</t>
  </si>
  <si>
    <t>Predicted arc probability</t>
    <phoneticPr fontId="2" type="noConversion"/>
  </si>
  <si>
    <r>
      <t>SiO</t>
    </r>
    <r>
      <rPr>
        <vertAlign val="subscript"/>
        <sz val="11"/>
        <color theme="1"/>
        <rFont val="Times New Roman"/>
        <family val="1"/>
      </rPr>
      <t>2</t>
    </r>
  </si>
  <si>
    <r>
      <t>TiO</t>
    </r>
    <r>
      <rPr>
        <vertAlign val="subscript"/>
        <sz val="11"/>
        <color theme="1"/>
        <rFont val="Times New Roman"/>
        <family val="1"/>
      </rPr>
      <t>2</t>
    </r>
  </si>
  <si>
    <r>
      <t>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</si>
  <si>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r>
      <t>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</si>
  <si>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MnO</t>
  </si>
  <si>
    <r>
      <t>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</si>
  <si>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</si>
  <si>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</si>
  <si>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LOI</t>
  </si>
  <si>
    <t>Total</t>
  </si>
  <si>
    <t>Sc</t>
  </si>
  <si>
    <t>Co</t>
  </si>
  <si>
    <t>Ga</t>
  </si>
  <si>
    <t>B</t>
  </si>
  <si>
    <t>Be</t>
  </si>
  <si>
    <t>Cs</t>
  </si>
  <si>
    <t>Pr</t>
  </si>
  <si>
    <t>Nd</t>
  </si>
  <si>
    <t>Sm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</si>
  <si>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</si>
  <si>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</si>
  <si>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</si>
  <si>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</si>
  <si>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</si>
  <si>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</si>
  <si>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</si>
  <si>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</si>
  <si>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</si>
  <si>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UA10</t>
  </si>
  <si>
    <t>Ureparapara</t>
  </si>
  <si>
    <t>0.5 Ma</t>
  </si>
  <si>
    <t>UA3</t>
  </si>
  <si>
    <t>UMAC4</t>
  </si>
  <si>
    <t>MLMAC26</t>
  </si>
  <si>
    <t>Motlav</t>
  </si>
  <si>
    <t>0.42 Ma</t>
  </si>
  <si>
    <t>MLMAC43</t>
  </si>
  <si>
    <t>&lt;0.2 Ma</t>
  </si>
  <si>
    <t>VLC7</t>
  </si>
  <si>
    <t>Vanua Lava</t>
  </si>
  <si>
    <t>VMAC5</t>
  </si>
  <si>
    <t>VMAC6</t>
  </si>
  <si>
    <t>GM60</t>
  </si>
  <si>
    <t>Gaua</t>
  </si>
  <si>
    <t>1.7 Ma</t>
  </si>
  <si>
    <t>GM61</t>
  </si>
  <si>
    <t>AOW1</t>
  </si>
  <si>
    <t>Aoba</t>
  </si>
  <si>
    <t>0.1 Ma</t>
  </si>
  <si>
    <t>AOW11</t>
  </si>
  <si>
    <t>&lt;0.1 Ma</t>
  </si>
  <si>
    <t>AOW115</t>
  </si>
  <si>
    <t>AOW130</t>
  </si>
  <si>
    <t>AOW25</t>
  </si>
  <si>
    <t>AM39</t>
  </si>
  <si>
    <t>Ambrym</t>
  </si>
  <si>
    <t>AM27</t>
  </si>
  <si>
    <t>AM39C</t>
  </si>
  <si>
    <t>PAM10</t>
  </si>
  <si>
    <t>Paama</t>
  </si>
  <si>
    <t>&lt;2 Ma</t>
  </si>
  <si>
    <t>PAM20</t>
  </si>
  <si>
    <t>EPW70</t>
  </si>
  <si>
    <t>East Epi</t>
  </si>
  <si>
    <t>&lt;0.4 Ma</t>
  </si>
  <si>
    <t>FMAC18</t>
  </si>
  <si>
    <t>Futuna</t>
  </si>
  <si>
    <t>1.8–3.5 Ma</t>
  </si>
  <si>
    <t>FMAC64</t>
  </si>
  <si>
    <t>VGA1</t>
  </si>
  <si>
    <t>Vot Tande</t>
  </si>
  <si>
    <t>3.5 Ma</t>
  </si>
  <si>
    <t>VGA3</t>
  </si>
  <si>
    <t>VGA7</t>
  </si>
  <si>
    <t>VGMAC2</t>
  </si>
  <si>
    <t>Peate et al., 1997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</si>
</sst>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000_);[Red]\(0.00000000\)"/>
    <numFmt numFmtId="178" formatCode="0.00000000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vertAlign val="subscript"/>
      <sz val="1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177" fontId="3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78" fontId="0" fillId="0" borderId="0" xfId="0" applyNumberFormat="1" applyAlignment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6952-0A43-4525-8166-4CE760A26A31}">
  <dimension ref="A1:BC332"/>
  <sheetViews>
    <sheetView tabSelected="1" zoomScale="80" zoomScaleNormal="80" workbookViewId="0">
      <selection activeCell="C3" sqref="C3"/>
    </sheetView>
  </sheetViews>
  <sheetFormatPr defaultRowHeight="14" x14ac:dyDescent="0.3"/>
  <cols>
    <col min="1" max="2" width="8.6640625" style="1"/>
    <col min="3" max="3" width="11.83203125" style="1" customWidth="1"/>
    <col min="4" max="7" width="8.6640625" style="1"/>
    <col min="8" max="8" width="11.25" style="1" customWidth="1"/>
    <col min="9" max="9" width="16.9140625" style="3" customWidth="1"/>
    <col min="10" max="10" width="16.5" style="3" customWidth="1"/>
    <col min="11" max="11" width="8.6640625" style="1"/>
    <col min="12" max="35" width="8.6640625" style="5"/>
    <col min="36" max="36" width="9.1640625" style="5" bestFit="1" customWidth="1"/>
    <col min="37" max="37" width="8.6640625" style="5"/>
    <col min="38" max="38" width="9.1640625" style="5" bestFit="1" customWidth="1"/>
    <col min="39" max="39" width="8.6640625" style="5"/>
    <col min="40" max="41" width="9.1640625" style="5" bestFit="1" customWidth="1"/>
    <col min="42" max="43" width="10.1640625" style="5" bestFit="1" customWidth="1"/>
    <col min="44" max="44" width="8.6640625" style="5"/>
    <col min="45" max="48" width="9.1640625" style="5" bestFit="1" customWidth="1"/>
    <col min="49" max="55" width="8.6640625" style="5"/>
    <col min="56" max="16384" width="8.6640625" style="1"/>
  </cols>
  <sheetData>
    <row r="1" spans="1:54" ht="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449</v>
      </c>
      <c r="J1" s="4" t="s">
        <v>404</v>
      </c>
      <c r="K1" s="2" t="s">
        <v>8</v>
      </c>
      <c r="L1" s="5" t="s">
        <v>405</v>
      </c>
      <c r="M1" s="5" t="s">
        <v>406</v>
      </c>
      <c r="N1" s="5" t="s">
        <v>407</v>
      </c>
      <c r="O1" s="5" t="s">
        <v>408</v>
      </c>
      <c r="P1" s="5" t="s">
        <v>409</v>
      </c>
      <c r="Q1" s="5" t="s">
        <v>410</v>
      </c>
      <c r="R1" s="5" t="s">
        <v>411</v>
      </c>
      <c r="S1" s="5" t="s">
        <v>412</v>
      </c>
      <c r="T1" s="5" t="s">
        <v>413</v>
      </c>
      <c r="U1" s="5" t="s">
        <v>414</v>
      </c>
      <c r="V1" s="5" t="s">
        <v>415</v>
      </c>
      <c r="W1" s="5" t="s">
        <v>416</v>
      </c>
      <c r="X1" s="5" t="s">
        <v>417</v>
      </c>
      <c r="Y1" s="5" t="s">
        <v>418</v>
      </c>
      <c r="Z1" s="5" t="s">
        <v>419</v>
      </c>
      <c r="AA1" s="5" t="s">
        <v>9</v>
      </c>
      <c r="AB1" s="5" t="s">
        <v>420</v>
      </c>
      <c r="AC1" s="5" t="s">
        <v>421</v>
      </c>
      <c r="AD1" s="5" t="s">
        <v>422</v>
      </c>
      <c r="AE1" s="5" t="s">
        <v>423</v>
      </c>
      <c r="AF1" s="5" t="s">
        <v>424</v>
      </c>
      <c r="AG1" s="5" t="s">
        <v>10</v>
      </c>
      <c r="AH1" s="5" t="s">
        <v>12</v>
      </c>
      <c r="AI1" s="5" t="s">
        <v>426</v>
      </c>
      <c r="AJ1" s="5" t="s">
        <v>11</v>
      </c>
      <c r="AK1" s="5" t="s">
        <v>427</v>
      </c>
      <c r="AL1" s="5" t="s">
        <v>428</v>
      </c>
      <c r="AM1" s="5" t="s">
        <v>429</v>
      </c>
      <c r="AN1" s="5" t="s">
        <v>430</v>
      </c>
      <c r="AO1" s="5" t="s">
        <v>13</v>
      </c>
      <c r="AP1" s="5" t="s">
        <v>432</v>
      </c>
      <c r="AQ1" s="5" t="s">
        <v>433</v>
      </c>
      <c r="AR1" s="5" t="s">
        <v>434</v>
      </c>
      <c r="AS1" s="5" t="s">
        <v>435</v>
      </c>
      <c r="AT1" s="5" t="s">
        <v>436</v>
      </c>
      <c r="AU1" s="5" t="s">
        <v>437</v>
      </c>
      <c r="AV1" s="5" t="s">
        <v>438</v>
      </c>
      <c r="AW1" s="5" t="s">
        <v>439</v>
      </c>
      <c r="AX1" s="5" t="s">
        <v>440</v>
      </c>
      <c r="AY1" s="5" t="s">
        <v>441</v>
      </c>
      <c r="AZ1" s="5" t="s">
        <v>442</v>
      </c>
      <c r="BA1" s="5" t="s">
        <v>443</v>
      </c>
      <c r="BB1" s="5" t="s">
        <v>444</v>
      </c>
    </row>
    <row r="2" spans="1:54" x14ac:dyDescent="0.3">
      <c r="A2" s="1" t="s">
        <v>14</v>
      </c>
      <c r="B2" s="1" t="s">
        <v>15</v>
      </c>
      <c r="C2" s="1" t="s">
        <v>16</v>
      </c>
      <c r="D2" s="5">
        <v>43.88</v>
      </c>
      <c r="E2" s="5">
        <v>128.94</v>
      </c>
      <c r="F2" s="1" t="s">
        <v>17</v>
      </c>
      <c r="G2" s="5" t="s">
        <v>18</v>
      </c>
      <c r="H2" s="5" t="s">
        <v>19</v>
      </c>
      <c r="I2" s="6">
        <v>2.8821927844546741E-4</v>
      </c>
      <c r="J2" s="3" t="s">
        <v>445</v>
      </c>
      <c r="K2" s="5">
        <v>47.81</v>
      </c>
      <c r="L2" s="5">
        <v>0.16</v>
      </c>
      <c r="M2" s="5">
        <v>9.11</v>
      </c>
      <c r="N2" s="5">
        <v>9.11</v>
      </c>
      <c r="O2" s="5">
        <v>3.1</v>
      </c>
      <c r="P2" s="5">
        <v>1.89</v>
      </c>
      <c r="Q2" s="5">
        <v>21.81</v>
      </c>
      <c r="R2" s="5">
        <v>181</v>
      </c>
      <c r="W2" s="5">
        <v>30.3</v>
      </c>
      <c r="X2" s="5">
        <v>656</v>
      </c>
      <c r="Y2" s="5">
        <v>3.72</v>
      </c>
      <c r="Z2" s="5">
        <v>4.1900000000000004</v>
      </c>
      <c r="AA2" s="5">
        <v>0.9</v>
      </c>
      <c r="AB2" s="5">
        <v>43.46</v>
      </c>
      <c r="AC2" s="5">
        <v>2.9</v>
      </c>
      <c r="AD2" s="5">
        <v>29.12</v>
      </c>
      <c r="AE2" s="5">
        <v>55.11</v>
      </c>
      <c r="AH2" s="5">
        <v>1.63</v>
      </c>
      <c r="AI2" s="5">
        <v>442</v>
      </c>
      <c r="AJ2" s="5">
        <v>23.11</v>
      </c>
      <c r="AK2" s="5">
        <v>158</v>
      </c>
      <c r="AL2" s="5">
        <v>3.34</v>
      </c>
      <c r="AM2" s="5">
        <v>10427.82</v>
      </c>
      <c r="AN2" s="5">
        <v>2138.36</v>
      </c>
      <c r="AO2" s="5">
        <v>1.7791411042944787</v>
      </c>
      <c r="AP2" s="5">
        <v>6.84</v>
      </c>
      <c r="AQ2" s="5">
        <v>10.37</v>
      </c>
      <c r="AR2" s="5">
        <v>1.49</v>
      </c>
      <c r="AS2" s="5">
        <v>0.7</v>
      </c>
      <c r="AT2" s="5">
        <v>25.57</v>
      </c>
      <c r="AU2" s="5">
        <v>0.09</v>
      </c>
      <c r="AV2" s="5">
        <v>0.14000000000000001</v>
      </c>
      <c r="AW2" s="5">
        <v>10.17</v>
      </c>
      <c r="AX2" s="5">
        <v>15.18</v>
      </c>
      <c r="AY2" s="5">
        <v>0.02</v>
      </c>
      <c r="BB2" s="5">
        <v>26.66</v>
      </c>
    </row>
    <row r="3" spans="1:54" x14ac:dyDescent="0.3">
      <c r="A3" s="1" t="s">
        <v>14</v>
      </c>
      <c r="B3" s="1" t="s">
        <v>15</v>
      </c>
      <c r="C3" s="1" t="s">
        <v>16</v>
      </c>
      <c r="D3" s="5">
        <v>43.88</v>
      </c>
      <c r="E3" s="5">
        <v>128.94</v>
      </c>
      <c r="F3" s="1" t="s">
        <v>17</v>
      </c>
      <c r="G3" s="5" t="s">
        <v>20</v>
      </c>
      <c r="H3" s="5" t="s">
        <v>19</v>
      </c>
      <c r="I3" s="6">
        <v>6.5754301613196731E-4</v>
      </c>
      <c r="J3" s="3" t="s">
        <v>445</v>
      </c>
      <c r="K3" s="5">
        <v>49.99</v>
      </c>
      <c r="L3" s="5">
        <v>0.15</v>
      </c>
      <c r="M3" s="5">
        <v>8.24</v>
      </c>
      <c r="N3" s="5">
        <v>8.6</v>
      </c>
      <c r="O3" s="5">
        <v>3.14</v>
      </c>
      <c r="P3" s="5">
        <v>1.44</v>
      </c>
      <c r="Q3" s="5">
        <v>20.83</v>
      </c>
      <c r="R3" s="5">
        <v>160</v>
      </c>
      <c r="W3" s="5">
        <v>21.7</v>
      </c>
      <c r="X3" s="5">
        <v>653</v>
      </c>
      <c r="Y3" s="5">
        <v>2.98</v>
      </c>
      <c r="Z3" s="5">
        <v>2.91</v>
      </c>
      <c r="AA3" s="5">
        <v>0.51</v>
      </c>
      <c r="AB3" s="5">
        <v>28.95</v>
      </c>
      <c r="AC3" s="5">
        <v>2.25</v>
      </c>
      <c r="AD3" s="5">
        <v>20.88</v>
      </c>
      <c r="AE3" s="5">
        <v>40.11</v>
      </c>
      <c r="AH3" s="5">
        <v>1.5</v>
      </c>
      <c r="AI3" s="5">
        <v>346</v>
      </c>
      <c r="AJ3" s="5">
        <v>20.89</v>
      </c>
      <c r="AK3" s="5">
        <v>129</v>
      </c>
      <c r="AL3" s="5">
        <v>2.86</v>
      </c>
      <c r="AM3" s="5">
        <v>10188.1</v>
      </c>
      <c r="AN3" s="5">
        <v>1658.32</v>
      </c>
      <c r="AO3" s="5">
        <v>1.5</v>
      </c>
      <c r="AP3" s="5">
        <v>6.18</v>
      </c>
      <c r="AQ3" s="5">
        <v>9.9499999999999993</v>
      </c>
      <c r="AR3" s="5">
        <v>1.39</v>
      </c>
      <c r="AS3" s="5">
        <v>0.75</v>
      </c>
      <c r="AT3" s="5">
        <v>32.25</v>
      </c>
      <c r="AU3" s="5">
        <v>0.1</v>
      </c>
      <c r="AV3" s="5">
        <v>0.15</v>
      </c>
      <c r="AW3" s="5">
        <v>11.95</v>
      </c>
      <c r="AX3" s="5">
        <v>16.57</v>
      </c>
      <c r="AY3" s="5">
        <v>0.02</v>
      </c>
      <c r="BB3" s="5">
        <v>19.3</v>
      </c>
    </row>
    <row r="4" spans="1:54" x14ac:dyDescent="0.3">
      <c r="A4" s="1" t="s">
        <v>14</v>
      </c>
      <c r="B4" s="1" t="s">
        <v>15</v>
      </c>
      <c r="C4" s="1" t="s">
        <v>16</v>
      </c>
      <c r="D4" s="5">
        <v>43.88</v>
      </c>
      <c r="E4" s="5">
        <v>128.94</v>
      </c>
      <c r="F4" s="1" t="s">
        <v>17</v>
      </c>
      <c r="G4" s="5" t="s">
        <v>21</v>
      </c>
      <c r="H4" s="5" t="s">
        <v>19</v>
      </c>
      <c r="I4" s="6">
        <v>1.1477467342047019E-4</v>
      </c>
      <c r="J4" s="3" t="s">
        <v>445</v>
      </c>
      <c r="K4" s="5">
        <v>47.77</v>
      </c>
      <c r="L4" s="5">
        <v>0.16</v>
      </c>
      <c r="M4" s="5">
        <v>8.0399999999999991</v>
      </c>
      <c r="N4" s="5">
        <v>8.09</v>
      </c>
      <c r="O4" s="5">
        <v>4.54</v>
      </c>
      <c r="P4" s="5">
        <v>3.19</v>
      </c>
      <c r="Q4" s="5">
        <v>23.72</v>
      </c>
      <c r="R4" s="5">
        <v>152</v>
      </c>
      <c r="W4" s="5">
        <v>57</v>
      </c>
      <c r="X4" s="5">
        <v>937</v>
      </c>
      <c r="Y4" s="5">
        <v>7.38</v>
      </c>
      <c r="Z4" s="5">
        <v>7.95</v>
      </c>
      <c r="AA4" s="5">
        <v>1.8</v>
      </c>
      <c r="AB4" s="5">
        <v>75.97</v>
      </c>
      <c r="AC4" s="5">
        <v>5.21</v>
      </c>
      <c r="AD4" s="5">
        <v>53.51</v>
      </c>
      <c r="AE4" s="5">
        <v>97.29</v>
      </c>
      <c r="AH4" s="5">
        <v>1.62</v>
      </c>
      <c r="AI4" s="5">
        <v>638</v>
      </c>
      <c r="AJ4" s="5">
        <v>25.88</v>
      </c>
      <c r="AK4" s="5">
        <v>259</v>
      </c>
      <c r="AL4" s="5">
        <v>5.09</v>
      </c>
      <c r="AM4" s="5">
        <v>10547.68</v>
      </c>
      <c r="AN4" s="5">
        <v>3796.68</v>
      </c>
      <c r="AO4" s="5">
        <v>3.216049382716049</v>
      </c>
      <c r="AP4" s="5">
        <v>10.01</v>
      </c>
      <c r="AQ4" s="5">
        <v>9.56</v>
      </c>
      <c r="AR4" s="5">
        <v>1.42</v>
      </c>
      <c r="AS4" s="5">
        <v>0.75</v>
      </c>
      <c r="AT4" s="5">
        <v>22.48</v>
      </c>
      <c r="AU4" s="5">
        <v>0.1</v>
      </c>
      <c r="AV4" s="5">
        <v>0.18</v>
      </c>
      <c r="AW4" s="5">
        <v>8.4</v>
      </c>
      <c r="AX4" s="5">
        <v>11.92</v>
      </c>
      <c r="AY4" s="5">
        <v>0.02</v>
      </c>
      <c r="BB4" s="5">
        <v>46.9</v>
      </c>
    </row>
    <row r="5" spans="1:54" x14ac:dyDescent="0.3">
      <c r="A5" s="1" t="s">
        <v>14</v>
      </c>
      <c r="B5" s="1" t="s">
        <v>15</v>
      </c>
      <c r="C5" s="1" t="s">
        <v>16</v>
      </c>
      <c r="D5" s="5">
        <v>43.88</v>
      </c>
      <c r="E5" s="5">
        <v>128.94</v>
      </c>
      <c r="F5" s="1" t="s">
        <v>17</v>
      </c>
      <c r="G5" s="5" t="s">
        <v>22</v>
      </c>
      <c r="H5" s="5" t="s">
        <v>19</v>
      </c>
      <c r="I5" s="6">
        <v>9.7421807367936708E-6</v>
      </c>
      <c r="J5" s="3" t="s">
        <v>445</v>
      </c>
      <c r="K5" s="5">
        <v>48.32</v>
      </c>
      <c r="L5" s="5">
        <v>0.16</v>
      </c>
      <c r="M5" s="5">
        <v>8.08</v>
      </c>
      <c r="N5" s="5">
        <v>8.8000000000000007</v>
      </c>
      <c r="O5" s="5">
        <v>4.01</v>
      </c>
      <c r="P5" s="5">
        <v>2.31</v>
      </c>
      <c r="Q5" s="5">
        <v>21.59</v>
      </c>
      <c r="R5" s="5">
        <v>160</v>
      </c>
      <c r="W5" s="5">
        <v>52.1</v>
      </c>
      <c r="X5" s="5">
        <v>971</v>
      </c>
      <c r="Y5" s="5">
        <v>5.87</v>
      </c>
      <c r="Z5" s="5">
        <v>8</v>
      </c>
      <c r="AA5" s="5">
        <v>1.9</v>
      </c>
      <c r="AB5" s="5">
        <v>80.97</v>
      </c>
      <c r="AC5" s="5">
        <v>5.23</v>
      </c>
      <c r="AD5" s="5">
        <v>57.13</v>
      </c>
      <c r="AE5" s="5">
        <v>103</v>
      </c>
      <c r="AH5" s="5">
        <v>1.64</v>
      </c>
      <c r="AI5" s="5">
        <v>651</v>
      </c>
      <c r="AJ5" s="5">
        <v>26.38</v>
      </c>
      <c r="AK5" s="5">
        <v>266</v>
      </c>
      <c r="AL5" s="5">
        <v>5.19</v>
      </c>
      <c r="AM5" s="5">
        <v>10188.1</v>
      </c>
      <c r="AN5" s="5">
        <v>2967.52</v>
      </c>
      <c r="AO5" s="5">
        <v>3.1890243902439028</v>
      </c>
      <c r="AP5" s="5">
        <v>10.08</v>
      </c>
      <c r="AQ5" s="5">
        <v>10.119999999999999</v>
      </c>
      <c r="AR5" s="5">
        <v>1.42</v>
      </c>
      <c r="AS5" s="5">
        <v>0.64</v>
      </c>
      <c r="AT5" s="5">
        <v>22.06</v>
      </c>
      <c r="AU5" s="5">
        <v>7.0000000000000007E-2</v>
      </c>
      <c r="AV5" s="5">
        <v>0.13</v>
      </c>
      <c r="AW5" s="5">
        <v>8.0399999999999991</v>
      </c>
      <c r="AX5" s="5">
        <v>11.4</v>
      </c>
      <c r="AY5" s="5">
        <v>0.02</v>
      </c>
      <c r="BB5" s="5">
        <v>49.37</v>
      </c>
    </row>
    <row r="6" spans="1:54" x14ac:dyDescent="0.3">
      <c r="A6" s="1" t="s">
        <v>14</v>
      </c>
      <c r="B6" s="1" t="s">
        <v>15</v>
      </c>
      <c r="C6" s="1" t="s">
        <v>16</v>
      </c>
      <c r="D6" s="5">
        <v>43.88</v>
      </c>
      <c r="E6" s="5">
        <v>128.94</v>
      </c>
      <c r="F6" s="1" t="s">
        <v>17</v>
      </c>
      <c r="G6" s="5" t="s">
        <v>23</v>
      </c>
      <c r="H6" s="5" t="s">
        <v>19</v>
      </c>
      <c r="I6" s="6">
        <v>1.1482316040201109E-5</v>
      </c>
      <c r="J6" s="3" t="s">
        <v>445</v>
      </c>
      <c r="K6" s="5">
        <v>45.8</v>
      </c>
      <c r="L6" s="5">
        <v>0.17</v>
      </c>
      <c r="M6" s="5">
        <v>9.5299999999999994</v>
      </c>
      <c r="N6" s="5">
        <v>8.56</v>
      </c>
      <c r="O6" s="5">
        <v>4.63</v>
      </c>
      <c r="P6" s="5">
        <v>3.32</v>
      </c>
      <c r="Q6" s="5">
        <v>21.57</v>
      </c>
      <c r="R6" s="5">
        <v>152</v>
      </c>
      <c r="W6" s="5">
        <v>58</v>
      </c>
      <c r="X6" s="5">
        <v>1058</v>
      </c>
      <c r="Y6" s="5">
        <v>5.96</v>
      </c>
      <c r="Z6" s="5">
        <v>8.42</v>
      </c>
      <c r="AA6" s="5">
        <v>1.97</v>
      </c>
      <c r="AB6" s="5">
        <v>88.15</v>
      </c>
      <c r="AC6" s="5">
        <v>5.5</v>
      </c>
      <c r="AD6" s="5">
        <v>63.78</v>
      </c>
      <c r="AE6" s="5">
        <v>115</v>
      </c>
      <c r="AH6" s="5">
        <v>1.55</v>
      </c>
      <c r="AI6" s="5">
        <v>679</v>
      </c>
      <c r="AJ6" s="5">
        <v>26.52</v>
      </c>
      <c r="AK6" s="5">
        <v>279</v>
      </c>
      <c r="AL6" s="5">
        <v>5.46</v>
      </c>
      <c r="AM6" s="5">
        <v>10967.19</v>
      </c>
      <c r="AN6" s="5">
        <v>4407.6400000000003</v>
      </c>
      <c r="AO6" s="5">
        <v>3.5483870967741935</v>
      </c>
      <c r="AP6" s="5">
        <v>10.52</v>
      </c>
      <c r="AQ6" s="5">
        <v>10.47</v>
      </c>
      <c r="AR6" s="5">
        <v>1.38</v>
      </c>
      <c r="AS6" s="5">
        <v>0.66</v>
      </c>
      <c r="AT6" s="5">
        <v>21.68</v>
      </c>
      <c r="AU6" s="5">
        <v>7.0000000000000007E-2</v>
      </c>
      <c r="AV6" s="5">
        <v>0.12</v>
      </c>
      <c r="AW6" s="5">
        <v>7.7</v>
      </c>
      <c r="AX6" s="5">
        <v>10.65</v>
      </c>
      <c r="AY6" s="5">
        <v>0.02</v>
      </c>
      <c r="BB6" s="5">
        <v>56.87</v>
      </c>
    </row>
    <row r="7" spans="1:54" x14ac:dyDescent="0.3">
      <c r="A7" s="1" t="s">
        <v>14</v>
      </c>
      <c r="B7" s="1" t="s">
        <v>15</v>
      </c>
      <c r="C7" s="1" t="s">
        <v>16</v>
      </c>
      <c r="D7" s="5">
        <v>43.88</v>
      </c>
      <c r="E7" s="5">
        <v>128.94</v>
      </c>
      <c r="F7" s="1" t="s">
        <v>17</v>
      </c>
      <c r="G7" s="5" t="s">
        <v>24</v>
      </c>
      <c r="H7" s="5" t="s">
        <v>19</v>
      </c>
      <c r="I7" s="6">
        <v>1.621714000066277E-5</v>
      </c>
      <c r="J7" s="3" t="s">
        <v>445</v>
      </c>
      <c r="K7" s="5">
        <v>45.38</v>
      </c>
      <c r="L7" s="5">
        <v>0.16</v>
      </c>
      <c r="M7" s="5">
        <v>9.11</v>
      </c>
      <c r="N7" s="5">
        <v>8.6199999999999992</v>
      </c>
      <c r="O7" s="5">
        <v>4.75</v>
      </c>
      <c r="P7" s="5">
        <v>3.31</v>
      </c>
      <c r="Q7" s="5">
        <v>23.03</v>
      </c>
      <c r="R7" s="5">
        <v>155</v>
      </c>
      <c r="W7" s="5">
        <v>55.5</v>
      </c>
      <c r="X7" s="5">
        <v>1044</v>
      </c>
      <c r="Y7" s="5">
        <v>5.96</v>
      </c>
      <c r="Z7" s="5">
        <v>8.4700000000000006</v>
      </c>
      <c r="AA7" s="5">
        <v>2</v>
      </c>
      <c r="AB7" s="5">
        <v>88.84</v>
      </c>
      <c r="AC7" s="5">
        <v>5.88</v>
      </c>
      <c r="AD7" s="5">
        <v>62.51</v>
      </c>
      <c r="AE7" s="5">
        <v>113</v>
      </c>
      <c r="AH7" s="5">
        <v>1.55</v>
      </c>
      <c r="AI7" s="5">
        <v>679</v>
      </c>
      <c r="AJ7" s="5">
        <v>26.57</v>
      </c>
      <c r="AK7" s="5">
        <v>284</v>
      </c>
      <c r="AL7" s="5">
        <v>5.54</v>
      </c>
      <c r="AM7" s="5">
        <v>11146.98</v>
      </c>
      <c r="AN7" s="5">
        <v>4364</v>
      </c>
      <c r="AO7" s="5">
        <v>3.7935483870967741</v>
      </c>
      <c r="AP7" s="5">
        <v>10.69</v>
      </c>
      <c r="AQ7" s="5">
        <v>10.49</v>
      </c>
      <c r="AR7" s="5">
        <v>1.42</v>
      </c>
      <c r="AS7" s="5">
        <v>0.62</v>
      </c>
      <c r="AT7" s="5">
        <v>21.6</v>
      </c>
      <c r="AU7" s="5">
        <v>7.0000000000000007E-2</v>
      </c>
      <c r="AV7" s="5">
        <v>0.12</v>
      </c>
      <c r="AW7" s="5">
        <v>7.64</v>
      </c>
      <c r="AX7" s="5">
        <v>10.86</v>
      </c>
      <c r="AY7" s="5">
        <v>0.02</v>
      </c>
      <c r="BB7" s="5">
        <v>57.32</v>
      </c>
    </row>
    <row r="8" spans="1:54" x14ac:dyDescent="0.3">
      <c r="A8" s="1" t="s">
        <v>14</v>
      </c>
      <c r="B8" s="1" t="s">
        <v>15</v>
      </c>
      <c r="C8" s="1" t="s">
        <v>16</v>
      </c>
      <c r="D8" s="5">
        <v>43.88</v>
      </c>
      <c r="E8" s="5">
        <v>128.94</v>
      </c>
      <c r="F8" s="1" t="s">
        <v>17</v>
      </c>
      <c r="G8" s="5" t="s">
        <v>25</v>
      </c>
      <c r="H8" s="5" t="s">
        <v>19</v>
      </c>
      <c r="I8" s="6">
        <v>1.093598439183552E-5</v>
      </c>
      <c r="J8" s="3" t="s">
        <v>445</v>
      </c>
      <c r="K8" s="5">
        <v>48.69</v>
      </c>
      <c r="L8" s="5">
        <v>0.15</v>
      </c>
      <c r="M8" s="5">
        <v>8.2799999999999994</v>
      </c>
      <c r="N8" s="5">
        <v>8.75</v>
      </c>
      <c r="O8" s="5">
        <v>3.63</v>
      </c>
      <c r="P8" s="5">
        <v>2.1800000000000002</v>
      </c>
      <c r="Q8" s="5">
        <v>21.09</v>
      </c>
      <c r="R8" s="5">
        <v>159</v>
      </c>
      <c r="W8" s="5">
        <v>39.799999999999997</v>
      </c>
      <c r="X8" s="5">
        <v>679</v>
      </c>
      <c r="Y8" s="5">
        <v>4.62</v>
      </c>
      <c r="Z8" s="5">
        <v>6.39</v>
      </c>
      <c r="AA8" s="5">
        <v>1.17</v>
      </c>
      <c r="AB8" s="5">
        <v>59.8</v>
      </c>
      <c r="AC8" s="5">
        <v>3.74</v>
      </c>
      <c r="AD8" s="5">
        <v>38.549999999999997</v>
      </c>
      <c r="AE8" s="5">
        <v>69.55</v>
      </c>
      <c r="AH8" s="5">
        <v>1.58</v>
      </c>
      <c r="AI8" s="5">
        <v>598</v>
      </c>
      <c r="AJ8" s="5">
        <v>23.12</v>
      </c>
      <c r="AK8" s="5">
        <v>198</v>
      </c>
      <c r="AL8" s="5">
        <v>4.07</v>
      </c>
      <c r="AM8" s="5">
        <v>10068.24</v>
      </c>
      <c r="AN8" s="5">
        <v>2487.48</v>
      </c>
      <c r="AO8" s="5">
        <v>2.3670886075949369</v>
      </c>
      <c r="AP8" s="5">
        <v>8.56</v>
      </c>
      <c r="AQ8" s="5">
        <v>9.36</v>
      </c>
      <c r="AR8" s="5">
        <v>1.55</v>
      </c>
      <c r="AS8" s="5">
        <v>0.67</v>
      </c>
      <c r="AT8" s="5">
        <v>22.51</v>
      </c>
      <c r="AU8" s="5">
        <v>0.08</v>
      </c>
      <c r="AV8" s="5">
        <v>0.15</v>
      </c>
      <c r="AW8" s="5">
        <v>10</v>
      </c>
      <c r="AX8" s="5">
        <v>15.51</v>
      </c>
      <c r="AY8" s="5">
        <v>0.02</v>
      </c>
      <c r="BB8" s="5">
        <v>37.85</v>
      </c>
    </row>
    <row r="9" spans="1:54" x14ac:dyDescent="0.3">
      <c r="A9" s="1" t="s">
        <v>14</v>
      </c>
      <c r="B9" s="1" t="s">
        <v>15</v>
      </c>
      <c r="C9" s="1" t="s">
        <v>16</v>
      </c>
      <c r="D9" s="5">
        <v>43.88</v>
      </c>
      <c r="E9" s="5">
        <v>128.94</v>
      </c>
      <c r="F9" s="1" t="s">
        <v>17</v>
      </c>
      <c r="G9" s="5" t="s">
        <v>26</v>
      </c>
      <c r="H9" s="5" t="s">
        <v>19</v>
      </c>
      <c r="I9" s="6">
        <v>1.1475013707240579E-5</v>
      </c>
      <c r="J9" s="3" t="s">
        <v>445</v>
      </c>
      <c r="K9" s="5">
        <v>48.55</v>
      </c>
      <c r="L9" s="5">
        <v>0.15</v>
      </c>
      <c r="M9" s="5">
        <v>7.96</v>
      </c>
      <c r="N9" s="5">
        <v>8.94</v>
      </c>
      <c r="O9" s="5">
        <v>3.83</v>
      </c>
      <c r="P9" s="5">
        <v>2.2000000000000002</v>
      </c>
      <c r="Q9" s="5">
        <v>20.85</v>
      </c>
      <c r="R9" s="5">
        <v>162</v>
      </c>
      <c r="W9" s="5">
        <v>39.200000000000003</v>
      </c>
      <c r="X9" s="5">
        <v>695</v>
      </c>
      <c r="Y9" s="5">
        <v>4.67</v>
      </c>
      <c r="Z9" s="5">
        <v>6.72</v>
      </c>
      <c r="AA9" s="5">
        <v>1.32</v>
      </c>
      <c r="AB9" s="5">
        <v>61.37</v>
      </c>
      <c r="AC9" s="5">
        <v>4.16</v>
      </c>
      <c r="AD9" s="5">
        <v>39.659999999999997</v>
      </c>
      <c r="AE9" s="5">
        <v>71.48</v>
      </c>
      <c r="AH9" s="5">
        <v>1.6</v>
      </c>
      <c r="AI9" s="5">
        <v>619</v>
      </c>
      <c r="AJ9" s="5">
        <v>23.28</v>
      </c>
      <c r="AK9" s="5">
        <v>200</v>
      </c>
      <c r="AL9" s="5">
        <v>4.12</v>
      </c>
      <c r="AM9" s="5">
        <v>10188.1</v>
      </c>
      <c r="AN9" s="5">
        <v>2705.68</v>
      </c>
      <c r="AO9" s="5">
        <v>2.6</v>
      </c>
      <c r="AP9" s="5">
        <v>8.59</v>
      </c>
      <c r="AQ9" s="5">
        <v>9.1300000000000008</v>
      </c>
      <c r="AR9" s="5">
        <v>1.55</v>
      </c>
      <c r="AS9" s="5">
        <v>0.64</v>
      </c>
      <c r="AT9" s="5">
        <v>22.45</v>
      </c>
      <c r="AU9" s="5">
        <v>0.08</v>
      </c>
      <c r="AV9" s="5">
        <v>0.15</v>
      </c>
      <c r="AW9" s="5">
        <v>10.09</v>
      </c>
      <c r="AX9" s="5">
        <v>15.61</v>
      </c>
      <c r="AY9" s="5">
        <v>0.02</v>
      </c>
      <c r="BB9" s="5">
        <v>38.36</v>
      </c>
    </row>
    <row r="10" spans="1:54" x14ac:dyDescent="0.3">
      <c r="A10" s="1" t="s">
        <v>14</v>
      </c>
      <c r="B10" s="1" t="s">
        <v>15</v>
      </c>
      <c r="C10" s="1" t="s">
        <v>16</v>
      </c>
      <c r="D10" s="5">
        <v>43.88</v>
      </c>
      <c r="E10" s="5">
        <v>128.94</v>
      </c>
      <c r="F10" s="1" t="s">
        <v>17</v>
      </c>
      <c r="G10" s="5" t="s">
        <v>27</v>
      </c>
      <c r="H10" s="5" t="s">
        <v>19</v>
      </c>
      <c r="I10" s="6">
        <v>4.3157124309800574E-6</v>
      </c>
      <c r="J10" s="3" t="s">
        <v>445</v>
      </c>
      <c r="K10" s="5">
        <v>47.8</v>
      </c>
      <c r="L10" s="5">
        <v>0.17</v>
      </c>
      <c r="M10" s="5">
        <v>6.2</v>
      </c>
      <c r="N10" s="5">
        <v>7.73</v>
      </c>
      <c r="O10" s="5">
        <v>3.64</v>
      </c>
      <c r="P10" s="5">
        <v>2.52</v>
      </c>
      <c r="Q10" s="5">
        <v>23.63</v>
      </c>
      <c r="R10" s="5">
        <v>158</v>
      </c>
      <c r="W10" s="5">
        <v>42.5</v>
      </c>
      <c r="X10" s="5">
        <v>738</v>
      </c>
      <c r="Y10" s="5">
        <v>5.09</v>
      </c>
      <c r="Z10" s="5">
        <v>7.58</v>
      </c>
      <c r="AA10" s="5">
        <v>1.51</v>
      </c>
      <c r="AB10" s="5">
        <v>68.02</v>
      </c>
      <c r="AC10" s="5">
        <v>4.12</v>
      </c>
      <c r="AD10" s="5">
        <v>44.34</v>
      </c>
      <c r="AE10" s="5">
        <v>79.12</v>
      </c>
      <c r="AH10" s="5">
        <v>1.61</v>
      </c>
      <c r="AI10" s="5">
        <v>643</v>
      </c>
      <c r="AJ10" s="5">
        <v>23.9</v>
      </c>
      <c r="AK10" s="5">
        <v>215</v>
      </c>
      <c r="AL10" s="5">
        <v>4.3600000000000003</v>
      </c>
      <c r="AM10" s="5">
        <v>15342.08</v>
      </c>
      <c r="AN10" s="5">
        <v>2400.1999999999998</v>
      </c>
      <c r="AO10" s="5">
        <v>2.5590062111801242</v>
      </c>
      <c r="AP10" s="5">
        <v>9</v>
      </c>
      <c r="AQ10" s="5">
        <v>8.9700000000000006</v>
      </c>
      <c r="AR10" s="5">
        <v>1.53</v>
      </c>
      <c r="AS10" s="5">
        <v>0.62</v>
      </c>
      <c r="AT10" s="5">
        <v>21.96</v>
      </c>
      <c r="AU10" s="5">
        <v>7.0000000000000007E-2</v>
      </c>
      <c r="AV10" s="5">
        <v>0.15</v>
      </c>
      <c r="AW10" s="5">
        <v>9.4499999999999993</v>
      </c>
      <c r="AX10" s="5">
        <v>14.5</v>
      </c>
      <c r="AY10" s="5">
        <v>0.02</v>
      </c>
      <c r="BB10" s="5">
        <v>42.25</v>
      </c>
    </row>
    <row r="11" spans="1:54" x14ac:dyDescent="0.3">
      <c r="A11" s="1" t="s">
        <v>14</v>
      </c>
      <c r="B11" s="1" t="s">
        <v>15</v>
      </c>
      <c r="C11" s="1" t="s">
        <v>16</v>
      </c>
      <c r="D11" s="5">
        <v>43.88</v>
      </c>
      <c r="E11" s="5">
        <v>128.94</v>
      </c>
      <c r="F11" s="1" t="s">
        <v>17</v>
      </c>
      <c r="G11" s="5" t="s">
        <v>28</v>
      </c>
      <c r="H11" s="5" t="s">
        <v>19</v>
      </c>
      <c r="I11" s="6">
        <v>1.7276559447054751E-5</v>
      </c>
      <c r="J11" s="3" t="s">
        <v>445</v>
      </c>
      <c r="K11" s="5">
        <v>48.21</v>
      </c>
      <c r="L11" s="5">
        <v>0.16</v>
      </c>
      <c r="M11" s="5">
        <v>7.97</v>
      </c>
      <c r="N11" s="5">
        <v>8.85</v>
      </c>
      <c r="O11" s="5">
        <v>4.05</v>
      </c>
      <c r="P11" s="5">
        <v>2.35</v>
      </c>
      <c r="Q11" s="5">
        <v>19.95</v>
      </c>
      <c r="R11" s="5">
        <v>162</v>
      </c>
      <c r="W11" s="5">
        <v>42.7</v>
      </c>
      <c r="X11" s="5">
        <v>746</v>
      </c>
      <c r="Y11" s="5">
        <v>5.3</v>
      </c>
      <c r="Z11" s="5">
        <v>7.6</v>
      </c>
      <c r="AA11" s="5">
        <v>1.5</v>
      </c>
      <c r="AB11" s="5">
        <v>68.55</v>
      </c>
      <c r="AC11" s="5">
        <v>4.3</v>
      </c>
      <c r="AD11" s="5">
        <v>44.72</v>
      </c>
      <c r="AE11" s="5">
        <v>79.87</v>
      </c>
      <c r="AH11" s="5">
        <v>1.61</v>
      </c>
      <c r="AI11" s="5">
        <v>660</v>
      </c>
      <c r="AJ11" s="5">
        <v>24.23</v>
      </c>
      <c r="AK11" s="5">
        <v>217</v>
      </c>
      <c r="AL11" s="5">
        <v>4.41</v>
      </c>
      <c r="AM11" s="5">
        <v>10188.1</v>
      </c>
      <c r="AN11" s="5">
        <v>2967.52</v>
      </c>
      <c r="AO11" s="5">
        <v>2.670807453416149</v>
      </c>
      <c r="AP11" s="5">
        <v>8.9600000000000009</v>
      </c>
      <c r="AQ11" s="5">
        <v>9.02</v>
      </c>
      <c r="AR11" s="5">
        <v>1.53</v>
      </c>
      <c r="AS11" s="5">
        <v>0.62</v>
      </c>
      <c r="AT11" s="5">
        <v>21.92</v>
      </c>
      <c r="AU11" s="5">
        <v>0.08</v>
      </c>
      <c r="AV11" s="5">
        <v>0.16</v>
      </c>
      <c r="AW11" s="5">
        <v>9.6300000000000008</v>
      </c>
      <c r="AX11" s="5">
        <v>14.76</v>
      </c>
      <c r="AY11" s="5">
        <v>0.02</v>
      </c>
      <c r="BB11" s="5">
        <v>42.58</v>
      </c>
    </row>
    <row r="12" spans="1:54" x14ac:dyDescent="0.3">
      <c r="A12" s="1" t="s">
        <v>14</v>
      </c>
      <c r="B12" s="1" t="s">
        <v>15</v>
      </c>
      <c r="C12" s="1" t="s">
        <v>16</v>
      </c>
      <c r="D12" s="5">
        <v>43.88</v>
      </c>
      <c r="E12" s="5">
        <v>128.94</v>
      </c>
      <c r="F12" s="1" t="s">
        <v>17</v>
      </c>
      <c r="G12" s="5" t="s">
        <v>29</v>
      </c>
      <c r="H12" s="5" t="s">
        <v>19</v>
      </c>
      <c r="I12" s="6">
        <v>7.7606800914509222E-6</v>
      </c>
      <c r="J12" s="3" t="s">
        <v>445</v>
      </c>
      <c r="K12" s="5">
        <v>45.44</v>
      </c>
      <c r="L12" s="5">
        <v>0.17</v>
      </c>
      <c r="M12" s="5">
        <v>9.15</v>
      </c>
      <c r="N12" s="5">
        <v>8.4600000000000009</v>
      </c>
      <c r="O12" s="5">
        <v>4.3899999999999997</v>
      </c>
      <c r="P12" s="5">
        <v>3.19</v>
      </c>
      <c r="Q12" s="5">
        <v>19.989999999999998</v>
      </c>
      <c r="R12" s="5">
        <v>159</v>
      </c>
      <c r="W12" s="5">
        <v>42.8</v>
      </c>
      <c r="X12" s="5">
        <v>752</v>
      </c>
      <c r="Y12" s="5">
        <v>5.09</v>
      </c>
      <c r="Z12" s="5">
        <v>7.57</v>
      </c>
      <c r="AA12" s="5">
        <v>1.51</v>
      </c>
      <c r="AB12" s="5">
        <v>68.33</v>
      </c>
      <c r="AC12" s="5">
        <v>4.32</v>
      </c>
      <c r="AD12" s="5">
        <v>44.61</v>
      </c>
      <c r="AE12" s="5">
        <v>79.900000000000006</v>
      </c>
      <c r="AH12" s="5">
        <v>1.63</v>
      </c>
      <c r="AI12" s="5">
        <v>650</v>
      </c>
      <c r="AJ12" s="5">
        <v>24.1</v>
      </c>
      <c r="AK12" s="5">
        <v>217</v>
      </c>
      <c r="AL12" s="5">
        <v>4.3499999999999996</v>
      </c>
      <c r="AM12" s="5">
        <v>10967.19</v>
      </c>
      <c r="AN12" s="5">
        <v>4102.16</v>
      </c>
      <c r="AO12" s="5">
        <v>2.6503067484662579</v>
      </c>
      <c r="AP12" s="5">
        <v>9</v>
      </c>
      <c r="AQ12" s="5">
        <v>9.0299999999999994</v>
      </c>
      <c r="AR12" s="5">
        <v>1.53</v>
      </c>
      <c r="AS12" s="5">
        <v>0.63</v>
      </c>
      <c r="AT12" s="5">
        <v>22.19</v>
      </c>
      <c r="AU12" s="5">
        <v>7.0000000000000007E-2</v>
      </c>
      <c r="AV12" s="5">
        <v>0.15</v>
      </c>
      <c r="AW12" s="5">
        <v>9.51</v>
      </c>
      <c r="AX12" s="5">
        <v>14.57</v>
      </c>
      <c r="AY12" s="5">
        <v>0.02</v>
      </c>
      <c r="BB12" s="5">
        <v>41.92</v>
      </c>
    </row>
    <row r="13" spans="1:54" x14ac:dyDescent="0.3">
      <c r="A13" s="1" t="s">
        <v>14</v>
      </c>
      <c r="B13" s="1" t="s">
        <v>15</v>
      </c>
      <c r="C13" s="1" t="s">
        <v>16</v>
      </c>
      <c r="D13" s="5">
        <v>43.88</v>
      </c>
      <c r="E13" s="5">
        <v>128.94</v>
      </c>
      <c r="F13" s="1" t="s">
        <v>17</v>
      </c>
      <c r="G13" s="5" t="s">
        <v>30</v>
      </c>
      <c r="H13" s="5" t="s">
        <v>19</v>
      </c>
      <c r="I13" s="6">
        <v>1.117214469559258E-5</v>
      </c>
      <c r="J13" s="3" t="s">
        <v>445</v>
      </c>
      <c r="K13" s="5">
        <v>47.85</v>
      </c>
      <c r="L13" s="5">
        <v>0.16</v>
      </c>
      <c r="M13" s="5">
        <v>8.18</v>
      </c>
      <c r="N13" s="5">
        <v>8.6999999999999993</v>
      </c>
      <c r="O13" s="5">
        <v>4.22</v>
      </c>
      <c r="P13" s="5">
        <v>2.37</v>
      </c>
      <c r="Q13" s="5">
        <v>22.02</v>
      </c>
      <c r="R13" s="5">
        <v>158</v>
      </c>
      <c r="W13" s="5">
        <v>43</v>
      </c>
      <c r="X13" s="5">
        <v>738</v>
      </c>
      <c r="Y13" s="5">
        <v>5.21</v>
      </c>
      <c r="Z13" s="5">
        <v>7.56</v>
      </c>
      <c r="AA13" s="5">
        <v>1.52</v>
      </c>
      <c r="AB13" s="5">
        <v>68.260000000000005</v>
      </c>
      <c r="AC13" s="5">
        <v>4.84</v>
      </c>
      <c r="AD13" s="5">
        <v>44.6</v>
      </c>
      <c r="AE13" s="5">
        <v>79.7</v>
      </c>
      <c r="AH13" s="5">
        <v>1.62</v>
      </c>
      <c r="AI13" s="5">
        <v>646</v>
      </c>
      <c r="AJ13" s="5">
        <v>23.96</v>
      </c>
      <c r="AK13" s="5">
        <v>216</v>
      </c>
      <c r="AL13" s="5">
        <v>4.37</v>
      </c>
      <c r="AM13" s="5">
        <v>10128.17</v>
      </c>
      <c r="AN13" s="5">
        <v>2923.88</v>
      </c>
      <c r="AO13" s="5">
        <v>2.9876543209876538</v>
      </c>
      <c r="AP13" s="5">
        <v>9.02</v>
      </c>
      <c r="AQ13" s="5">
        <v>9.0299999999999994</v>
      </c>
      <c r="AR13" s="5">
        <v>1.53</v>
      </c>
      <c r="AS13" s="5">
        <v>0.63</v>
      </c>
      <c r="AT13" s="5">
        <v>21.85</v>
      </c>
      <c r="AU13" s="5">
        <v>0.08</v>
      </c>
      <c r="AV13" s="5">
        <v>0.15</v>
      </c>
      <c r="AW13" s="5">
        <v>9.4600000000000009</v>
      </c>
      <c r="AX13" s="5">
        <v>14.48</v>
      </c>
      <c r="AY13" s="5">
        <v>0.02</v>
      </c>
      <c r="BB13" s="5">
        <v>42.14</v>
      </c>
    </row>
    <row r="14" spans="1:54" x14ac:dyDescent="0.3">
      <c r="A14" s="1" t="s">
        <v>14</v>
      </c>
      <c r="B14" s="1" t="s">
        <v>15</v>
      </c>
      <c r="C14" s="1" t="s">
        <v>16</v>
      </c>
      <c r="D14" s="5">
        <v>43.88</v>
      </c>
      <c r="E14" s="5">
        <v>128.94</v>
      </c>
      <c r="F14" s="1" t="s">
        <v>17</v>
      </c>
      <c r="G14" s="5" t="s">
        <v>31</v>
      </c>
      <c r="H14" s="5" t="s">
        <v>19</v>
      </c>
      <c r="I14" s="6">
        <v>2.389058863627724E-5</v>
      </c>
      <c r="J14" s="3" t="s">
        <v>445</v>
      </c>
      <c r="K14" s="5">
        <v>47.79</v>
      </c>
      <c r="L14" s="5">
        <v>0.16</v>
      </c>
      <c r="M14" s="5">
        <v>8.48</v>
      </c>
      <c r="N14" s="5">
        <v>8.7799999999999994</v>
      </c>
      <c r="O14" s="5">
        <v>3.88</v>
      </c>
      <c r="P14" s="5">
        <v>2.27</v>
      </c>
      <c r="Q14" s="5">
        <v>19.55</v>
      </c>
      <c r="R14" s="5">
        <v>156</v>
      </c>
      <c r="W14" s="5">
        <v>40.700000000000003</v>
      </c>
      <c r="X14" s="5">
        <v>742</v>
      </c>
      <c r="Y14" s="5">
        <v>5.16</v>
      </c>
      <c r="Z14" s="5">
        <v>7.47</v>
      </c>
      <c r="AA14" s="5">
        <v>1.48</v>
      </c>
      <c r="AB14" s="5">
        <v>66.540000000000006</v>
      </c>
      <c r="AC14" s="5">
        <v>4.4400000000000004</v>
      </c>
      <c r="AD14" s="5">
        <v>43.88</v>
      </c>
      <c r="AE14" s="5">
        <v>78.22</v>
      </c>
      <c r="AH14" s="5">
        <v>1.6</v>
      </c>
      <c r="AI14" s="5">
        <v>640</v>
      </c>
      <c r="AJ14" s="5">
        <v>23.45</v>
      </c>
      <c r="AK14" s="5">
        <v>211</v>
      </c>
      <c r="AL14" s="5">
        <v>4.29</v>
      </c>
      <c r="AM14" s="5">
        <v>10008.31</v>
      </c>
      <c r="AN14" s="5">
        <v>2880.24</v>
      </c>
      <c r="AO14" s="5">
        <v>2.7749999999999999</v>
      </c>
      <c r="AP14" s="5">
        <v>9</v>
      </c>
      <c r="AQ14" s="5">
        <v>8.91</v>
      </c>
      <c r="AR14" s="5">
        <v>1.52</v>
      </c>
      <c r="AS14" s="5">
        <v>0.61</v>
      </c>
      <c r="AT14" s="5">
        <v>22.26</v>
      </c>
      <c r="AU14" s="5">
        <v>0.08</v>
      </c>
      <c r="AV14" s="5">
        <v>0.15</v>
      </c>
      <c r="AW14" s="5">
        <v>9.6199999999999992</v>
      </c>
      <c r="AX14" s="5">
        <v>14.59</v>
      </c>
      <c r="AY14" s="5">
        <v>0.02</v>
      </c>
      <c r="BB14" s="5">
        <v>41.59</v>
      </c>
    </row>
    <row r="15" spans="1:54" x14ac:dyDescent="0.3">
      <c r="A15" s="1" t="s">
        <v>14</v>
      </c>
      <c r="B15" s="1" t="s">
        <v>15</v>
      </c>
      <c r="C15" s="1" t="s">
        <v>16</v>
      </c>
      <c r="D15" s="5">
        <v>43.88</v>
      </c>
      <c r="E15" s="5">
        <v>128.94</v>
      </c>
      <c r="F15" s="1" t="s">
        <v>17</v>
      </c>
      <c r="G15" s="5" t="s">
        <v>32</v>
      </c>
      <c r="H15" s="5" t="s">
        <v>19</v>
      </c>
      <c r="I15" s="6">
        <v>8.1603902799542993E-6</v>
      </c>
      <c r="J15" s="3" t="s">
        <v>445</v>
      </c>
      <c r="K15" s="5">
        <v>48.42</v>
      </c>
      <c r="L15" s="5">
        <v>0.16</v>
      </c>
      <c r="M15" s="5">
        <v>8.3699999999999992</v>
      </c>
      <c r="N15" s="5">
        <v>8.91</v>
      </c>
      <c r="O15" s="5">
        <v>3.98</v>
      </c>
      <c r="P15" s="5">
        <v>2.16</v>
      </c>
      <c r="Q15" s="5">
        <v>21.02</v>
      </c>
      <c r="R15" s="5">
        <v>163</v>
      </c>
      <c r="W15" s="5">
        <v>39.4</v>
      </c>
      <c r="X15" s="5">
        <v>688</v>
      </c>
      <c r="Y15" s="5">
        <v>4.5999999999999996</v>
      </c>
      <c r="Z15" s="5">
        <v>6.46</v>
      </c>
      <c r="AA15" s="5">
        <v>1.21</v>
      </c>
      <c r="AB15" s="5">
        <v>59.27</v>
      </c>
      <c r="AC15" s="5">
        <v>4.55</v>
      </c>
      <c r="AD15" s="5">
        <v>38.57</v>
      </c>
      <c r="AE15" s="5">
        <v>69.56</v>
      </c>
      <c r="AH15" s="5">
        <v>1.57</v>
      </c>
      <c r="AI15" s="5">
        <v>602</v>
      </c>
      <c r="AJ15" s="5">
        <v>22.91</v>
      </c>
      <c r="AK15" s="5">
        <v>195</v>
      </c>
      <c r="AL15" s="5">
        <v>4.07</v>
      </c>
      <c r="AM15" s="5">
        <v>10008.31</v>
      </c>
      <c r="AN15" s="5">
        <v>2574.7600000000002</v>
      </c>
      <c r="AO15" s="5">
        <v>2.8980891719745219</v>
      </c>
      <c r="AP15" s="5">
        <v>8.51</v>
      </c>
      <c r="AQ15" s="5">
        <v>9.17</v>
      </c>
      <c r="AR15" s="5">
        <v>1.54</v>
      </c>
      <c r="AS15" s="5">
        <v>0.66</v>
      </c>
      <c r="AT15" s="5">
        <v>22.73</v>
      </c>
      <c r="AU15" s="5">
        <v>0.08</v>
      </c>
      <c r="AV15" s="5">
        <v>0.15</v>
      </c>
      <c r="AW15" s="5">
        <v>10.16</v>
      </c>
      <c r="AX15" s="5">
        <v>15.61</v>
      </c>
      <c r="AY15" s="5">
        <v>0.02</v>
      </c>
      <c r="BB15" s="5">
        <v>37.75</v>
      </c>
    </row>
    <row r="16" spans="1:54" x14ac:dyDescent="0.3">
      <c r="A16" s="1" t="s">
        <v>14</v>
      </c>
      <c r="B16" s="1" t="s">
        <v>15</v>
      </c>
      <c r="C16" s="1" t="s">
        <v>16</v>
      </c>
      <c r="D16" s="5">
        <v>43.88</v>
      </c>
      <c r="E16" s="5">
        <v>128.94</v>
      </c>
      <c r="F16" s="1" t="s">
        <v>17</v>
      </c>
      <c r="G16" s="5" t="s">
        <v>33</v>
      </c>
      <c r="H16" s="5" t="s">
        <v>19</v>
      </c>
      <c r="I16" s="6">
        <v>1.5879455531830899E-5</v>
      </c>
      <c r="J16" s="3" t="s">
        <v>445</v>
      </c>
      <c r="K16" s="5">
        <v>47.82</v>
      </c>
      <c r="L16" s="5">
        <v>0.17</v>
      </c>
      <c r="M16" s="5">
        <v>9.0500000000000007</v>
      </c>
      <c r="N16" s="5">
        <v>8.9</v>
      </c>
      <c r="O16" s="5">
        <v>3.53</v>
      </c>
      <c r="P16" s="5">
        <v>1.93</v>
      </c>
      <c r="Q16" s="5">
        <v>20.03</v>
      </c>
      <c r="R16" s="5">
        <v>157</v>
      </c>
      <c r="W16" s="5">
        <v>34.799999999999997</v>
      </c>
      <c r="X16" s="5">
        <v>738</v>
      </c>
      <c r="Y16" s="5">
        <v>4.58</v>
      </c>
      <c r="Z16" s="5">
        <v>6.51</v>
      </c>
      <c r="AA16" s="5">
        <v>1.3</v>
      </c>
      <c r="AB16" s="5">
        <v>59.76</v>
      </c>
      <c r="AC16" s="5">
        <v>4.1100000000000003</v>
      </c>
      <c r="AD16" s="5">
        <v>38.92</v>
      </c>
      <c r="AE16" s="5">
        <v>70.2</v>
      </c>
      <c r="AH16" s="5">
        <v>1.59</v>
      </c>
      <c r="AI16" s="5">
        <v>621</v>
      </c>
      <c r="AJ16" s="5">
        <v>23.13</v>
      </c>
      <c r="AK16" s="5">
        <v>197</v>
      </c>
      <c r="AL16" s="5">
        <v>4.0599999999999996</v>
      </c>
      <c r="AM16" s="5">
        <v>10068.24</v>
      </c>
      <c r="AN16" s="5">
        <v>2574.7600000000002</v>
      </c>
      <c r="AO16" s="5">
        <v>2.5849056603773586</v>
      </c>
      <c r="AP16" s="5">
        <v>8.52</v>
      </c>
      <c r="AQ16" s="5">
        <v>9.18</v>
      </c>
      <c r="AR16" s="5">
        <v>1.54</v>
      </c>
      <c r="AS16" s="5">
        <v>0.57999999999999996</v>
      </c>
      <c r="AT16" s="5">
        <v>24.36</v>
      </c>
      <c r="AU16" s="5">
        <v>0.08</v>
      </c>
      <c r="AV16" s="5">
        <v>0.15</v>
      </c>
      <c r="AW16" s="5">
        <v>10.39</v>
      </c>
      <c r="AX16" s="5">
        <v>15.96</v>
      </c>
      <c r="AY16" s="5">
        <v>0.02</v>
      </c>
      <c r="BB16" s="5">
        <v>37.58</v>
      </c>
    </row>
    <row r="17" spans="1:54" x14ac:dyDescent="0.3">
      <c r="A17" s="1" t="s">
        <v>14</v>
      </c>
      <c r="B17" s="1" t="s">
        <v>15</v>
      </c>
      <c r="C17" s="1" t="s">
        <v>16</v>
      </c>
      <c r="D17" s="5">
        <v>43.88</v>
      </c>
      <c r="E17" s="5">
        <v>128.94</v>
      </c>
      <c r="F17" s="1" t="s">
        <v>17</v>
      </c>
      <c r="G17" s="5" t="s">
        <v>34</v>
      </c>
      <c r="H17" s="5" t="s">
        <v>19</v>
      </c>
      <c r="I17" s="6">
        <v>7.8462244346155785E-6</v>
      </c>
      <c r="J17" s="3" t="s">
        <v>445</v>
      </c>
      <c r="K17" s="5">
        <v>47.81</v>
      </c>
      <c r="L17" s="5">
        <v>0.16</v>
      </c>
      <c r="M17" s="5">
        <v>8.59</v>
      </c>
      <c r="N17" s="5">
        <v>8.59</v>
      </c>
      <c r="O17" s="5">
        <v>4.03</v>
      </c>
      <c r="P17" s="5">
        <v>2.2999999999999998</v>
      </c>
      <c r="Q17" s="5">
        <v>19.3</v>
      </c>
      <c r="R17" s="5">
        <v>157</v>
      </c>
      <c r="W17" s="5">
        <v>42.4</v>
      </c>
      <c r="X17" s="5">
        <v>722</v>
      </c>
      <c r="Y17" s="5">
        <v>5.17</v>
      </c>
      <c r="Z17" s="5">
        <v>7.53</v>
      </c>
      <c r="AA17" s="5">
        <v>1.5</v>
      </c>
      <c r="AB17" s="5">
        <v>67.930000000000007</v>
      </c>
      <c r="AC17" s="5">
        <v>4.1900000000000004</v>
      </c>
      <c r="AD17" s="5">
        <v>44.16</v>
      </c>
      <c r="AE17" s="5">
        <v>78.900000000000006</v>
      </c>
      <c r="AH17" s="5">
        <v>1.62</v>
      </c>
      <c r="AI17" s="5">
        <v>647</v>
      </c>
      <c r="AJ17" s="5">
        <v>23.97</v>
      </c>
      <c r="AK17" s="5">
        <v>215</v>
      </c>
      <c r="AL17" s="5">
        <v>4.34</v>
      </c>
      <c r="AM17" s="5">
        <v>10128.17</v>
      </c>
      <c r="AN17" s="5">
        <v>2880.24</v>
      </c>
      <c r="AO17" s="5">
        <v>2.5864197530864197</v>
      </c>
      <c r="AP17" s="5">
        <v>8.9700000000000006</v>
      </c>
      <c r="AQ17" s="5">
        <v>9.02</v>
      </c>
      <c r="AR17" s="5">
        <v>1.54</v>
      </c>
      <c r="AS17" s="5">
        <v>0.62</v>
      </c>
      <c r="AT17" s="5">
        <v>21.6</v>
      </c>
      <c r="AU17" s="5">
        <v>0.08</v>
      </c>
      <c r="AV17" s="5">
        <v>0.15</v>
      </c>
      <c r="AW17" s="5">
        <v>9.52</v>
      </c>
      <c r="AX17" s="5">
        <v>14.65</v>
      </c>
      <c r="AY17" s="5">
        <v>0.02</v>
      </c>
      <c r="BB17" s="5">
        <v>41.93</v>
      </c>
    </row>
    <row r="18" spans="1:54" x14ac:dyDescent="0.3">
      <c r="A18" s="1" t="s">
        <v>14</v>
      </c>
      <c r="B18" s="1" t="s">
        <v>15</v>
      </c>
      <c r="C18" s="1" t="s">
        <v>16</v>
      </c>
      <c r="D18" s="5">
        <v>43.88</v>
      </c>
      <c r="E18" s="5">
        <v>128.94</v>
      </c>
      <c r="F18" s="1" t="s">
        <v>17</v>
      </c>
      <c r="G18" s="5" t="s">
        <v>35</v>
      </c>
      <c r="H18" s="5" t="s">
        <v>19</v>
      </c>
      <c r="I18" s="6">
        <v>9.1286504175513983E-4</v>
      </c>
      <c r="J18" s="3" t="s">
        <v>445</v>
      </c>
      <c r="K18" s="5">
        <v>48.31</v>
      </c>
      <c r="L18" s="5">
        <v>0.16</v>
      </c>
      <c r="M18" s="5">
        <v>8.34</v>
      </c>
      <c r="N18" s="5">
        <v>8.91</v>
      </c>
      <c r="O18" s="5">
        <v>3.72</v>
      </c>
      <c r="P18" s="5">
        <v>1.99</v>
      </c>
      <c r="Q18" s="5">
        <v>9891</v>
      </c>
      <c r="R18" s="5">
        <v>199</v>
      </c>
      <c r="W18" s="5">
        <v>35.6</v>
      </c>
      <c r="X18" s="5">
        <v>674</v>
      </c>
      <c r="Y18" s="5">
        <v>0.01</v>
      </c>
      <c r="Z18" s="5">
        <v>6.19</v>
      </c>
      <c r="AA18" s="5">
        <v>1.25</v>
      </c>
      <c r="AB18" s="5">
        <v>56.02</v>
      </c>
      <c r="AC18" s="5">
        <v>3.44</v>
      </c>
      <c r="AD18" s="5">
        <v>36.61</v>
      </c>
      <c r="AE18" s="5">
        <v>66.239999999999995</v>
      </c>
      <c r="AH18" s="5">
        <v>1.58</v>
      </c>
      <c r="AI18" s="5">
        <v>569</v>
      </c>
      <c r="AJ18" s="5">
        <v>190</v>
      </c>
      <c r="AK18" s="5">
        <v>56.02</v>
      </c>
      <c r="AL18" s="5">
        <v>3.44</v>
      </c>
      <c r="AM18" s="5">
        <v>10008.31</v>
      </c>
      <c r="AN18" s="5">
        <v>2312.92</v>
      </c>
      <c r="AO18" s="5">
        <v>2.1772151898734178</v>
      </c>
      <c r="AP18" s="5">
        <v>0.28999999999999998</v>
      </c>
      <c r="AQ18" s="5">
        <v>9.0500000000000007</v>
      </c>
      <c r="AR18" s="5">
        <v>1.53</v>
      </c>
      <c r="AS18" s="5">
        <v>0.64</v>
      </c>
      <c r="AT18" s="5">
        <v>23.18</v>
      </c>
      <c r="AU18" s="5">
        <v>0</v>
      </c>
      <c r="AV18" s="5">
        <v>0</v>
      </c>
      <c r="AW18" s="5">
        <v>10.16</v>
      </c>
      <c r="AX18" s="5">
        <v>15.54</v>
      </c>
      <c r="AY18" s="5">
        <v>0.02</v>
      </c>
      <c r="BB18" s="5">
        <v>35.46</v>
      </c>
    </row>
    <row r="19" spans="1:54" x14ac:dyDescent="0.3">
      <c r="A19" s="1" t="s">
        <v>14</v>
      </c>
      <c r="B19" s="1" t="s">
        <v>15</v>
      </c>
      <c r="C19" s="1" t="s">
        <v>16</v>
      </c>
      <c r="D19" s="5">
        <v>43.88</v>
      </c>
      <c r="E19" s="5">
        <v>128.94</v>
      </c>
      <c r="F19" s="1" t="s">
        <v>17</v>
      </c>
      <c r="G19" s="5" t="s">
        <v>36</v>
      </c>
      <c r="H19" s="5" t="s">
        <v>19</v>
      </c>
      <c r="I19" s="6">
        <v>4.3180701322853571E-4</v>
      </c>
      <c r="J19" s="3" t="s">
        <v>445</v>
      </c>
      <c r="K19" s="5">
        <v>48.09</v>
      </c>
      <c r="L19" s="5">
        <v>0.16</v>
      </c>
      <c r="M19" s="5">
        <v>8.6199999999999992</v>
      </c>
      <c r="N19" s="5">
        <v>8.75</v>
      </c>
      <c r="O19" s="5">
        <v>3.64</v>
      </c>
      <c r="P19" s="5">
        <v>2.13</v>
      </c>
      <c r="Q19" s="5">
        <v>9897</v>
      </c>
      <c r="R19" s="5">
        <v>195</v>
      </c>
      <c r="W19" s="5">
        <v>38.5</v>
      </c>
      <c r="X19" s="5">
        <v>689</v>
      </c>
      <c r="Y19" s="5">
        <v>0.01</v>
      </c>
      <c r="Z19" s="5">
        <v>6.64</v>
      </c>
      <c r="AA19" s="5">
        <v>1.24</v>
      </c>
      <c r="AB19" s="5">
        <v>61.3</v>
      </c>
      <c r="AC19" s="5">
        <v>3.79</v>
      </c>
      <c r="AD19" s="5">
        <v>39.549999999999997</v>
      </c>
      <c r="AE19" s="5">
        <v>71.27</v>
      </c>
      <c r="AH19" s="5">
        <v>1.61</v>
      </c>
      <c r="AI19" s="5">
        <v>619</v>
      </c>
      <c r="AJ19" s="5">
        <v>200</v>
      </c>
      <c r="AK19" s="5">
        <v>61.3</v>
      </c>
      <c r="AL19" s="5">
        <v>3.79</v>
      </c>
      <c r="AM19" s="5">
        <v>10008.31</v>
      </c>
      <c r="AN19" s="5">
        <v>2618.4</v>
      </c>
      <c r="AO19" s="5">
        <v>2.354037267080745</v>
      </c>
      <c r="AP19" s="5">
        <v>0.31</v>
      </c>
      <c r="AQ19" s="5">
        <v>9.23</v>
      </c>
      <c r="AR19" s="5">
        <v>1.55</v>
      </c>
      <c r="AS19" s="5">
        <v>0.63</v>
      </c>
      <c r="AT19" s="5">
        <v>22.4</v>
      </c>
      <c r="AU19" s="5">
        <v>0</v>
      </c>
      <c r="AV19" s="5">
        <v>0</v>
      </c>
      <c r="AW19" s="5">
        <v>10.1</v>
      </c>
      <c r="AX19" s="5">
        <v>15.65</v>
      </c>
      <c r="AY19" s="5">
        <v>0.02</v>
      </c>
      <c r="BB19" s="5">
        <v>38.07</v>
      </c>
    </row>
    <row r="20" spans="1:54" x14ac:dyDescent="0.3">
      <c r="A20" s="1" t="s">
        <v>14</v>
      </c>
      <c r="B20" s="1" t="s">
        <v>15</v>
      </c>
      <c r="C20" s="1" t="s">
        <v>16</v>
      </c>
      <c r="D20" s="5">
        <v>43.88</v>
      </c>
      <c r="E20" s="5">
        <v>128.94</v>
      </c>
      <c r="F20" s="1" t="s">
        <v>17</v>
      </c>
      <c r="G20" s="5" t="s">
        <v>37</v>
      </c>
      <c r="H20" s="5" t="s">
        <v>19</v>
      </c>
      <c r="I20" s="6">
        <v>6.9800548953935504E-4</v>
      </c>
      <c r="J20" s="3" t="s">
        <v>445</v>
      </c>
      <c r="K20" s="5">
        <v>48.04</v>
      </c>
      <c r="L20" s="5">
        <v>0.16</v>
      </c>
      <c r="M20" s="5">
        <v>8.6300000000000008</v>
      </c>
      <c r="N20" s="5">
        <v>8.73</v>
      </c>
      <c r="O20" s="5">
        <v>4.0599999999999996</v>
      </c>
      <c r="P20" s="5">
        <v>2.2000000000000002</v>
      </c>
      <c r="Q20" s="5">
        <v>9748</v>
      </c>
      <c r="R20" s="5">
        <v>192</v>
      </c>
      <c r="W20" s="5">
        <v>41.2</v>
      </c>
      <c r="X20" s="5">
        <v>706</v>
      </c>
      <c r="Y20" s="5">
        <v>0.02</v>
      </c>
      <c r="Z20" s="5">
        <v>6.94</v>
      </c>
      <c r="AA20" s="5">
        <v>1.37</v>
      </c>
      <c r="AB20" s="5">
        <v>63.2</v>
      </c>
      <c r="AC20" s="5">
        <v>3.63</v>
      </c>
      <c r="AD20" s="5">
        <v>40.97</v>
      </c>
      <c r="AE20" s="5">
        <v>73.52</v>
      </c>
      <c r="AH20" s="5">
        <v>1.59</v>
      </c>
      <c r="AI20" s="5">
        <v>623</v>
      </c>
      <c r="AJ20" s="5">
        <v>204</v>
      </c>
      <c r="AK20" s="5">
        <v>63.2</v>
      </c>
      <c r="AL20" s="5">
        <v>3.63</v>
      </c>
      <c r="AM20" s="5">
        <v>9888.4500000000007</v>
      </c>
      <c r="AN20" s="5">
        <v>2662.04</v>
      </c>
      <c r="AO20" s="5">
        <v>2.283018867924528</v>
      </c>
      <c r="AP20" s="5">
        <v>0.31</v>
      </c>
      <c r="AQ20" s="5">
        <v>9.11</v>
      </c>
      <c r="AR20" s="5">
        <v>1.54</v>
      </c>
      <c r="AS20" s="5">
        <v>0.65</v>
      </c>
      <c r="AT20" s="5">
        <v>22.45</v>
      </c>
      <c r="AU20" s="5">
        <v>0</v>
      </c>
      <c r="AV20" s="5">
        <v>0</v>
      </c>
      <c r="AW20" s="5">
        <v>9.86</v>
      </c>
      <c r="AX20" s="5">
        <v>15.21</v>
      </c>
      <c r="AY20" s="5">
        <v>0.02</v>
      </c>
      <c r="BB20" s="5">
        <v>39.75</v>
      </c>
    </row>
    <row r="21" spans="1:54" x14ac:dyDescent="0.3">
      <c r="A21" s="1" t="s">
        <v>14</v>
      </c>
      <c r="B21" s="1" t="s">
        <v>15</v>
      </c>
      <c r="C21" s="1" t="s">
        <v>16</v>
      </c>
      <c r="D21" s="5">
        <v>43.88</v>
      </c>
      <c r="E21" s="5">
        <v>128.94</v>
      </c>
      <c r="F21" s="1" t="s">
        <v>17</v>
      </c>
      <c r="G21" s="5" t="s">
        <v>38</v>
      </c>
      <c r="H21" s="5" t="s">
        <v>19</v>
      </c>
      <c r="I21" s="6">
        <v>7.1937631582841277E-4</v>
      </c>
      <c r="J21" s="3" t="s">
        <v>445</v>
      </c>
      <c r="K21" s="5">
        <v>48.37</v>
      </c>
      <c r="L21" s="5">
        <v>0.16</v>
      </c>
      <c r="M21" s="5">
        <v>8</v>
      </c>
      <c r="N21" s="5">
        <v>8.7799999999999994</v>
      </c>
      <c r="O21" s="5">
        <v>4.12</v>
      </c>
      <c r="P21" s="5">
        <v>2.27</v>
      </c>
      <c r="Q21" s="5">
        <v>10256</v>
      </c>
      <c r="R21" s="5">
        <v>179</v>
      </c>
      <c r="W21" s="5">
        <v>42.8</v>
      </c>
      <c r="X21" s="5">
        <v>718</v>
      </c>
      <c r="Y21" s="5">
        <v>0.01</v>
      </c>
      <c r="Z21" s="5">
        <v>7.24</v>
      </c>
      <c r="AA21" s="5">
        <v>1.44</v>
      </c>
      <c r="AB21" s="5">
        <v>65.94</v>
      </c>
      <c r="AC21" s="5">
        <v>3.89</v>
      </c>
      <c r="AD21" s="5">
        <v>42.62</v>
      </c>
      <c r="AE21" s="5">
        <v>76.42</v>
      </c>
      <c r="AH21" s="5">
        <v>1.66</v>
      </c>
      <c r="AI21" s="5">
        <v>648</v>
      </c>
      <c r="AJ21" s="5">
        <v>211</v>
      </c>
      <c r="AK21" s="5">
        <v>65.94</v>
      </c>
      <c r="AL21" s="5">
        <v>3.89</v>
      </c>
      <c r="AM21" s="5">
        <v>10188.1</v>
      </c>
      <c r="AN21" s="5">
        <v>2792.96</v>
      </c>
      <c r="AO21" s="5">
        <v>2.3433734939759039</v>
      </c>
      <c r="AP21" s="5">
        <v>0.31</v>
      </c>
      <c r="AQ21" s="5">
        <v>9.11</v>
      </c>
      <c r="AR21" s="5">
        <v>1.55</v>
      </c>
      <c r="AS21" s="5">
        <v>0.65</v>
      </c>
      <c r="AT21" s="5">
        <v>22.03</v>
      </c>
      <c r="AU21" s="5">
        <v>0</v>
      </c>
      <c r="AV21" s="5">
        <v>0</v>
      </c>
      <c r="AW21" s="5">
        <v>9.83</v>
      </c>
      <c r="AX21" s="5">
        <v>15.2</v>
      </c>
      <c r="AY21" s="5">
        <v>0.02</v>
      </c>
      <c r="BB21" s="5">
        <v>39.72</v>
      </c>
    </row>
    <row r="22" spans="1:54" x14ac:dyDescent="0.3">
      <c r="A22" s="1" t="s">
        <v>14</v>
      </c>
      <c r="B22" s="1" t="s">
        <v>15</v>
      </c>
      <c r="C22" s="1" t="s">
        <v>16</v>
      </c>
      <c r="D22" s="5">
        <v>43.88</v>
      </c>
      <c r="E22" s="5">
        <v>128.94</v>
      </c>
      <c r="F22" s="1" t="s">
        <v>17</v>
      </c>
      <c r="G22" s="5" t="s">
        <v>39</v>
      </c>
      <c r="H22" s="5" t="s">
        <v>19</v>
      </c>
      <c r="I22" s="6">
        <v>3.2843614462763071E-4</v>
      </c>
      <c r="J22" s="3" t="s">
        <v>445</v>
      </c>
      <c r="K22" s="5">
        <v>46.56</v>
      </c>
      <c r="L22" s="5">
        <v>0.15</v>
      </c>
      <c r="M22" s="5">
        <v>9.08</v>
      </c>
      <c r="N22" s="5">
        <v>9.0500000000000007</v>
      </c>
      <c r="O22" s="5">
        <v>2.44</v>
      </c>
      <c r="P22" s="5">
        <v>1.63</v>
      </c>
      <c r="Q22" s="5">
        <v>12427</v>
      </c>
      <c r="R22" s="5">
        <v>233</v>
      </c>
      <c r="W22" s="5">
        <v>14.9</v>
      </c>
      <c r="X22" s="5">
        <v>611</v>
      </c>
      <c r="Y22" s="5">
        <v>0.05</v>
      </c>
      <c r="Z22" s="5">
        <v>2.33</v>
      </c>
      <c r="AA22" s="5">
        <v>0.77</v>
      </c>
      <c r="AB22" s="5">
        <v>31.15</v>
      </c>
      <c r="AC22" s="5">
        <v>2.19</v>
      </c>
      <c r="AD22" s="5">
        <v>18.82</v>
      </c>
      <c r="AE22" s="5">
        <v>40.200000000000003</v>
      </c>
      <c r="AH22" s="5">
        <v>1.2</v>
      </c>
      <c r="AI22" s="5">
        <v>247</v>
      </c>
      <c r="AJ22" s="5">
        <v>189</v>
      </c>
      <c r="AK22" s="5">
        <v>31.15</v>
      </c>
      <c r="AL22" s="5">
        <v>2.19</v>
      </c>
      <c r="AM22" s="5">
        <v>13304.46</v>
      </c>
      <c r="AN22" s="5">
        <v>1789.24</v>
      </c>
      <c r="AO22" s="5">
        <v>1.825</v>
      </c>
      <c r="AP22" s="5">
        <v>0.16</v>
      </c>
      <c r="AQ22" s="5">
        <v>13.37</v>
      </c>
      <c r="AR22" s="5">
        <v>1.66</v>
      </c>
      <c r="AS22" s="5">
        <v>0.48</v>
      </c>
      <c r="AT22" s="5">
        <v>27.62</v>
      </c>
      <c r="AU22" s="5">
        <v>0</v>
      </c>
      <c r="AV22" s="5">
        <v>0</v>
      </c>
      <c r="AW22" s="5">
        <v>7.93</v>
      </c>
      <c r="AX22" s="5">
        <v>13.12</v>
      </c>
      <c r="AY22" s="5">
        <v>0.02</v>
      </c>
      <c r="BB22" s="5">
        <v>25.96</v>
      </c>
    </row>
    <row r="23" spans="1:54" x14ac:dyDescent="0.3">
      <c r="A23" s="1" t="s">
        <v>14</v>
      </c>
      <c r="B23" s="1" t="s">
        <v>15</v>
      </c>
      <c r="C23" s="1" t="s">
        <v>16</v>
      </c>
      <c r="D23" s="5">
        <v>43.88</v>
      </c>
      <c r="E23" s="5">
        <v>128.94</v>
      </c>
      <c r="F23" s="1" t="s">
        <v>17</v>
      </c>
      <c r="G23" s="5" t="s">
        <v>40</v>
      </c>
      <c r="H23" s="5" t="s">
        <v>19</v>
      </c>
      <c r="I23" s="6">
        <v>2.7868647594004869E-3</v>
      </c>
      <c r="J23" s="3" t="s">
        <v>445</v>
      </c>
      <c r="K23" s="5">
        <v>47.26</v>
      </c>
      <c r="L23" s="5">
        <v>0.15</v>
      </c>
      <c r="M23" s="5">
        <v>8.73</v>
      </c>
      <c r="N23" s="5">
        <v>8.76</v>
      </c>
      <c r="O23" s="5">
        <v>2.48</v>
      </c>
      <c r="P23" s="5">
        <v>2.0699999999999998</v>
      </c>
      <c r="Q23" s="5">
        <v>11855</v>
      </c>
      <c r="R23" s="5">
        <v>278</v>
      </c>
      <c r="W23" s="5">
        <v>24.2</v>
      </c>
      <c r="X23" s="5">
        <v>540</v>
      </c>
      <c r="Y23" s="5">
        <v>0.02</v>
      </c>
      <c r="Z23" s="5">
        <v>2.36</v>
      </c>
      <c r="AA23" s="5">
        <v>0.68</v>
      </c>
      <c r="AB23" s="5">
        <v>29.68</v>
      </c>
      <c r="AC23" s="5">
        <v>2.0299999999999998</v>
      </c>
      <c r="AD23" s="5">
        <v>19.03</v>
      </c>
      <c r="AE23" s="5">
        <v>40.81</v>
      </c>
      <c r="AH23" s="5">
        <v>1.47</v>
      </c>
      <c r="AI23" s="5">
        <v>257</v>
      </c>
      <c r="AJ23" s="5">
        <v>191</v>
      </c>
      <c r="AK23" s="5">
        <v>29.68</v>
      </c>
      <c r="AL23" s="5">
        <v>2.0299999999999998</v>
      </c>
      <c r="AM23" s="5">
        <v>11926.07</v>
      </c>
      <c r="AN23" s="5">
        <v>1789.24</v>
      </c>
      <c r="AO23" s="5">
        <v>1.3809523809523809</v>
      </c>
      <c r="AP23" s="5">
        <v>0.16</v>
      </c>
      <c r="AQ23" s="5">
        <v>12.58</v>
      </c>
      <c r="AR23" s="5">
        <v>1.56</v>
      </c>
      <c r="AS23" s="5">
        <v>0.82</v>
      </c>
      <c r="AT23" s="5">
        <v>24.06</v>
      </c>
      <c r="AU23" s="5">
        <v>0</v>
      </c>
      <c r="AV23" s="5">
        <v>0</v>
      </c>
      <c r="AW23" s="5">
        <v>8.66</v>
      </c>
      <c r="AX23" s="5">
        <v>13.5</v>
      </c>
      <c r="AY23" s="5">
        <v>0.02</v>
      </c>
      <c r="BB23" s="5">
        <v>20.190000000000001</v>
      </c>
    </row>
    <row r="24" spans="1:54" x14ac:dyDescent="0.3">
      <c r="A24" s="1" t="s">
        <v>14</v>
      </c>
      <c r="B24" s="1" t="s">
        <v>15</v>
      </c>
      <c r="C24" s="1" t="s">
        <v>16</v>
      </c>
      <c r="D24" s="5">
        <v>43.88</v>
      </c>
      <c r="E24" s="5">
        <v>128.94</v>
      </c>
      <c r="F24" s="1" t="s">
        <v>17</v>
      </c>
      <c r="G24" s="5" t="s">
        <v>41</v>
      </c>
      <c r="H24" s="5" t="s">
        <v>19</v>
      </c>
      <c r="I24" s="6">
        <v>1.226603402756155E-3</v>
      </c>
      <c r="J24" s="3" t="s">
        <v>445</v>
      </c>
      <c r="K24" s="5">
        <v>47.32</v>
      </c>
      <c r="L24" s="5">
        <v>0.15</v>
      </c>
      <c r="M24" s="5">
        <v>8.76</v>
      </c>
      <c r="N24" s="5">
        <v>8.81</v>
      </c>
      <c r="O24" s="5">
        <v>2.5099999999999998</v>
      </c>
      <c r="P24" s="5">
        <v>2.06</v>
      </c>
      <c r="Q24" s="5">
        <v>11709</v>
      </c>
      <c r="R24" s="5">
        <v>272</v>
      </c>
      <c r="W24" s="5">
        <v>24.1</v>
      </c>
      <c r="X24" s="5">
        <v>521</v>
      </c>
      <c r="Y24" s="5">
        <v>0.03</v>
      </c>
      <c r="Z24" s="5">
        <v>2.29</v>
      </c>
      <c r="AA24" s="5">
        <v>0.68</v>
      </c>
      <c r="AB24" s="5">
        <v>29.23</v>
      </c>
      <c r="AC24" s="5">
        <v>2.34</v>
      </c>
      <c r="AD24" s="5">
        <v>18.690000000000001</v>
      </c>
      <c r="AE24" s="5">
        <v>40.03</v>
      </c>
      <c r="AH24" s="5">
        <v>1.43</v>
      </c>
      <c r="AI24" s="5">
        <v>254</v>
      </c>
      <c r="AJ24" s="5">
        <v>189</v>
      </c>
      <c r="AK24" s="5">
        <v>29.23</v>
      </c>
      <c r="AL24" s="5">
        <v>2.34</v>
      </c>
      <c r="AM24" s="5">
        <v>11806.21</v>
      </c>
      <c r="AN24" s="5">
        <v>1745.6</v>
      </c>
      <c r="AO24" s="5">
        <v>1.6363636363636362</v>
      </c>
      <c r="AP24" s="5">
        <v>0.15</v>
      </c>
      <c r="AQ24" s="5">
        <v>12.76</v>
      </c>
      <c r="AR24" s="5">
        <v>1.56</v>
      </c>
      <c r="AS24" s="5">
        <v>0.82</v>
      </c>
      <c r="AT24" s="5">
        <v>23.55</v>
      </c>
      <c r="AU24" s="5">
        <v>0</v>
      </c>
      <c r="AV24" s="5">
        <v>0</v>
      </c>
      <c r="AW24" s="5">
        <v>8.69</v>
      </c>
      <c r="AX24" s="5">
        <v>13.59</v>
      </c>
      <c r="AY24" s="5">
        <v>0.02</v>
      </c>
      <c r="BB24" s="5">
        <v>20.440000000000001</v>
      </c>
    </row>
    <row r="25" spans="1:54" x14ac:dyDescent="0.3">
      <c r="A25" s="1" t="s">
        <v>14</v>
      </c>
      <c r="B25" s="1" t="s">
        <v>15</v>
      </c>
      <c r="C25" s="1" t="s">
        <v>16</v>
      </c>
      <c r="D25" s="5">
        <v>43.88</v>
      </c>
      <c r="E25" s="5">
        <v>128.94</v>
      </c>
      <c r="F25" s="1" t="s">
        <v>17</v>
      </c>
      <c r="G25" s="5" t="s">
        <v>42</v>
      </c>
      <c r="H25" s="5" t="s">
        <v>43</v>
      </c>
      <c r="I25" s="6">
        <v>5.7040484534809373E-5</v>
      </c>
      <c r="J25" s="3" t="s">
        <v>445</v>
      </c>
      <c r="K25" s="5">
        <v>49.02</v>
      </c>
      <c r="L25" s="5">
        <v>0.28000000000000003</v>
      </c>
      <c r="M25" s="5">
        <v>8.31</v>
      </c>
      <c r="N25" s="5">
        <v>8.84</v>
      </c>
      <c r="O25" s="5">
        <v>3.58</v>
      </c>
      <c r="P25" s="5">
        <v>2.11</v>
      </c>
      <c r="Q25" s="5">
        <v>15.7</v>
      </c>
      <c r="R25" s="5">
        <v>127</v>
      </c>
      <c r="W25" s="5">
        <v>31</v>
      </c>
      <c r="X25" s="5">
        <v>714</v>
      </c>
      <c r="Y25" s="5">
        <v>5.63</v>
      </c>
      <c r="Z25" s="5">
        <v>7.16</v>
      </c>
      <c r="AA25" s="5">
        <v>2.0299999999999998</v>
      </c>
      <c r="AB25" s="5">
        <v>49.7</v>
      </c>
      <c r="AC25" s="5">
        <v>4.47</v>
      </c>
      <c r="AD25" s="5">
        <v>43.4</v>
      </c>
      <c r="AE25" s="5">
        <v>71.2</v>
      </c>
      <c r="AH25" s="5">
        <v>1.68</v>
      </c>
      <c r="AI25" s="5">
        <v>827</v>
      </c>
      <c r="AJ25" s="5">
        <v>6.7</v>
      </c>
      <c r="AK25" s="5">
        <v>23.7</v>
      </c>
      <c r="AL25" s="5">
        <v>180</v>
      </c>
      <c r="AM25" s="5">
        <v>8270.34</v>
      </c>
      <c r="AN25" s="5">
        <v>3622.12</v>
      </c>
      <c r="AO25" s="5">
        <v>2.6607142857142856</v>
      </c>
      <c r="AP25" s="5">
        <v>3.54</v>
      </c>
      <c r="AQ25" s="5">
        <v>6.94</v>
      </c>
      <c r="AR25" s="5">
        <v>1.1499999999999999</v>
      </c>
      <c r="AS25" s="5">
        <v>0.62</v>
      </c>
      <c r="AT25" s="5">
        <v>20.64</v>
      </c>
      <c r="AU25" s="5">
        <v>0.11</v>
      </c>
      <c r="AV25" s="5">
        <v>0.16</v>
      </c>
      <c r="AW25" s="5">
        <v>16.64</v>
      </c>
      <c r="AX25" s="5">
        <v>19.059999999999999</v>
      </c>
      <c r="AY25" s="5">
        <v>0.04</v>
      </c>
      <c r="BB25" s="5">
        <v>29.58</v>
      </c>
    </row>
    <row r="26" spans="1:54" x14ac:dyDescent="0.3">
      <c r="A26" s="1" t="s">
        <v>14</v>
      </c>
      <c r="B26" s="1" t="s">
        <v>15</v>
      </c>
      <c r="C26" s="1" t="s">
        <v>16</v>
      </c>
      <c r="D26" s="5">
        <v>43.88</v>
      </c>
      <c r="E26" s="5">
        <v>128.94</v>
      </c>
      <c r="F26" s="1" t="s">
        <v>17</v>
      </c>
      <c r="G26" s="5" t="s">
        <v>44</v>
      </c>
      <c r="H26" s="5" t="s">
        <v>43</v>
      </c>
      <c r="I26" s="6">
        <v>9.3718890639138408E-6</v>
      </c>
      <c r="J26" s="3" t="s">
        <v>445</v>
      </c>
      <c r="K26" s="5">
        <v>48.81</v>
      </c>
      <c r="L26" s="5">
        <v>0.17</v>
      </c>
      <c r="M26" s="5">
        <v>7.71</v>
      </c>
      <c r="N26" s="5">
        <v>8.5</v>
      </c>
      <c r="O26" s="5">
        <v>4.22</v>
      </c>
      <c r="P26" s="5">
        <v>2.1800000000000002</v>
      </c>
      <c r="Q26" s="5">
        <v>15.2</v>
      </c>
      <c r="R26" s="5">
        <v>135</v>
      </c>
      <c r="W26" s="5">
        <v>37</v>
      </c>
      <c r="X26" s="5">
        <v>668</v>
      </c>
      <c r="Y26" s="5">
        <v>4.17</v>
      </c>
      <c r="Z26" s="5">
        <v>6.96</v>
      </c>
      <c r="AA26" s="5">
        <v>1.79</v>
      </c>
      <c r="AB26" s="5">
        <v>48.7</v>
      </c>
      <c r="AC26" s="5">
        <v>3.83</v>
      </c>
      <c r="AD26" s="5">
        <v>42.5</v>
      </c>
      <c r="AE26" s="5">
        <v>68.3</v>
      </c>
      <c r="AH26" s="5">
        <v>1.64</v>
      </c>
      <c r="AI26" s="5">
        <v>642</v>
      </c>
      <c r="AJ26" s="5">
        <v>7</v>
      </c>
      <c r="AK26" s="5">
        <v>22.4</v>
      </c>
      <c r="AL26" s="5">
        <v>175</v>
      </c>
      <c r="AM26" s="5">
        <v>8450.1299999999992</v>
      </c>
      <c r="AN26" s="5">
        <v>3229.36</v>
      </c>
      <c r="AO26" s="5">
        <v>2.3353658536585367</v>
      </c>
      <c r="AP26" s="5">
        <v>3.2</v>
      </c>
      <c r="AQ26" s="5">
        <v>7</v>
      </c>
      <c r="AR26" s="5">
        <v>1.1499999999999999</v>
      </c>
      <c r="AS26" s="5">
        <v>0.76</v>
      </c>
      <c r="AT26" s="5">
        <v>19.71</v>
      </c>
      <c r="AU26" s="5">
        <v>0.09</v>
      </c>
      <c r="AV26" s="5">
        <v>0.12</v>
      </c>
      <c r="AW26" s="5">
        <v>13.18</v>
      </c>
      <c r="AX26" s="5">
        <v>15.11</v>
      </c>
      <c r="AY26" s="5">
        <v>0.04</v>
      </c>
      <c r="BB26" s="5">
        <v>29.7</v>
      </c>
    </row>
    <row r="27" spans="1:54" x14ac:dyDescent="0.3">
      <c r="A27" s="1" t="s">
        <v>14</v>
      </c>
      <c r="B27" s="1" t="s">
        <v>15</v>
      </c>
      <c r="C27" s="1" t="s">
        <v>16</v>
      </c>
      <c r="D27" s="5">
        <v>43.88</v>
      </c>
      <c r="E27" s="5">
        <v>128.94</v>
      </c>
      <c r="F27" s="1" t="s">
        <v>17</v>
      </c>
      <c r="G27" s="5" t="s">
        <v>45</v>
      </c>
      <c r="H27" s="5" t="s">
        <v>43</v>
      </c>
      <c r="I27" s="6">
        <v>4.2454903450561687E-6</v>
      </c>
      <c r="J27" s="3" t="s">
        <v>445</v>
      </c>
      <c r="K27" s="5">
        <v>48.4</v>
      </c>
      <c r="L27" s="5">
        <v>0.2</v>
      </c>
      <c r="M27" s="5">
        <v>8.57</v>
      </c>
      <c r="N27" s="5">
        <v>8.73</v>
      </c>
      <c r="O27" s="5">
        <v>3.69</v>
      </c>
      <c r="P27" s="5">
        <v>2.04</v>
      </c>
      <c r="Q27" s="5">
        <v>16.3</v>
      </c>
      <c r="R27" s="5">
        <v>139</v>
      </c>
      <c r="W27" s="5">
        <v>31</v>
      </c>
      <c r="X27" s="5">
        <v>645</v>
      </c>
      <c r="Y27" s="5">
        <v>4.05</v>
      </c>
      <c r="Z27" s="5">
        <v>6.64</v>
      </c>
      <c r="AA27" s="5">
        <v>1.69</v>
      </c>
      <c r="AB27" s="5">
        <v>48.4</v>
      </c>
      <c r="AC27" s="5">
        <v>3.52</v>
      </c>
      <c r="AD27" s="5">
        <v>41.4</v>
      </c>
      <c r="AE27" s="5">
        <v>66.599999999999994</v>
      </c>
      <c r="AH27" s="5">
        <v>1.61</v>
      </c>
      <c r="AI27" s="5">
        <v>642</v>
      </c>
      <c r="AJ27" s="5">
        <v>6.3</v>
      </c>
      <c r="AK27" s="5">
        <v>22.5</v>
      </c>
      <c r="AL27" s="5">
        <v>172</v>
      </c>
      <c r="AM27" s="5">
        <v>8330.27</v>
      </c>
      <c r="AN27" s="5">
        <v>2880.24</v>
      </c>
      <c r="AO27" s="5">
        <v>2.1863354037267078</v>
      </c>
      <c r="AP27" s="5">
        <v>3.57</v>
      </c>
      <c r="AQ27" s="5">
        <v>7.29</v>
      </c>
      <c r="AR27" s="5">
        <v>1.17</v>
      </c>
      <c r="AS27" s="5">
        <v>0.64</v>
      </c>
      <c r="AT27" s="5">
        <v>19.43</v>
      </c>
      <c r="AU27" s="5">
        <v>0.08</v>
      </c>
      <c r="AV27" s="5">
        <v>0.12</v>
      </c>
      <c r="AW27" s="5">
        <v>13.26</v>
      </c>
      <c r="AX27" s="5">
        <v>15.51</v>
      </c>
      <c r="AY27" s="5">
        <v>0.03</v>
      </c>
      <c r="BB27" s="5">
        <v>30.06</v>
      </c>
    </row>
    <row r="28" spans="1:54" x14ac:dyDescent="0.3">
      <c r="A28" s="1" t="s">
        <v>14</v>
      </c>
      <c r="B28" s="1" t="s">
        <v>15</v>
      </c>
      <c r="C28" s="1" t="s">
        <v>16</v>
      </c>
      <c r="D28" s="5">
        <v>43.88</v>
      </c>
      <c r="E28" s="5">
        <v>128.94</v>
      </c>
      <c r="F28" s="1" t="s">
        <v>17</v>
      </c>
      <c r="G28" s="5" t="s">
        <v>46</v>
      </c>
      <c r="H28" s="5" t="s">
        <v>43</v>
      </c>
      <c r="I28" s="6">
        <v>1.522815909993369E-5</v>
      </c>
      <c r="J28" s="3" t="s">
        <v>445</v>
      </c>
      <c r="K28" s="5">
        <v>48.81</v>
      </c>
      <c r="L28" s="5">
        <v>0.18</v>
      </c>
      <c r="M28" s="5">
        <v>8.14</v>
      </c>
      <c r="N28" s="5">
        <v>8.84</v>
      </c>
      <c r="O28" s="5">
        <v>3.43</v>
      </c>
      <c r="P28" s="5">
        <v>1.97</v>
      </c>
      <c r="Q28" s="5">
        <v>17.3</v>
      </c>
      <c r="R28" s="5">
        <v>127</v>
      </c>
      <c r="W28" s="5">
        <v>28</v>
      </c>
      <c r="X28" s="5">
        <v>645</v>
      </c>
      <c r="Y28" s="5">
        <v>4.04</v>
      </c>
      <c r="Z28" s="5">
        <v>6.41</v>
      </c>
      <c r="AA28" s="5">
        <v>1.52</v>
      </c>
      <c r="AB28" s="5">
        <v>47.5</v>
      </c>
      <c r="AC28" s="5">
        <v>3.35</v>
      </c>
      <c r="AD28" s="5">
        <v>40</v>
      </c>
      <c r="AE28" s="5">
        <v>64.5</v>
      </c>
      <c r="AH28" s="5">
        <v>1.65</v>
      </c>
      <c r="AI28" s="5">
        <v>652</v>
      </c>
      <c r="AJ28" s="5">
        <v>6.4</v>
      </c>
      <c r="AK28" s="5">
        <v>23.5</v>
      </c>
      <c r="AL28" s="5">
        <v>171</v>
      </c>
      <c r="AM28" s="5">
        <v>8809.7099999999991</v>
      </c>
      <c r="AN28" s="5">
        <v>2749.32</v>
      </c>
      <c r="AO28" s="5">
        <v>2.0303030303030303</v>
      </c>
      <c r="AP28" s="5">
        <v>3.67</v>
      </c>
      <c r="AQ28" s="5">
        <v>7.41</v>
      </c>
      <c r="AR28" s="5">
        <v>1.19</v>
      </c>
      <c r="AS28" s="5">
        <v>0.59</v>
      </c>
      <c r="AT28" s="5">
        <v>19.600000000000001</v>
      </c>
      <c r="AU28" s="5">
        <v>0.09</v>
      </c>
      <c r="AV28" s="5">
        <v>0.12</v>
      </c>
      <c r="AW28" s="5">
        <v>13.73</v>
      </c>
      <c r="AX28" s="5">
        <v>16.3</v>
      </c>
      <c r="AY28" s="5">
        <v>0.03</v>
      </c>
      <c r="BB28" s="5">
        <v>28.79</v>
      </c>
    </row>
    <row r="29" spans="1:54" x14ac:dyDescent="0.3">
      <c r="A29" s="1" t="s">
        <v>14</v>
      </c>
      <c r="B29" s="1" t="s">
        <v>15</v>
      </c>
      <c r="C29" s="1" t="s">
        <v>16</v>
      </c>
      <c r="D29" s="5">
        <v>43.88</v>
      </c>
      <c r="E29" s="5">
        <v>128.94</v>
      </c>
      <c r="F29" s="1" t="s">
        <v>17</v>
      </c>
      <c r="G29" s="5" t="s">
        <v>47</v>
      </c>
      <c r="H29" s="5" t="s">
        <v>43</v>
      </c>
      <c r="I29" s="6">
        <v>1.5525467460975051E-5</v>
      </c>
      <c r="J29" s="3" t="s">
        <v>445</v>
      </c>
      <c r="K29" s="5">
        <v>49.02</v>
      </c>
      <c r="L29" s="5">
        <v>0.16</v>
      </c>
      <c r="M29" s="5">
        <v>7.97</v>
      </c>
      <c r="N29" s="5">
        <v>8.5</v>
      </c>
      <c r="O29" s="5">
        <v>4.1399999999999997</v>
      </c>
      <c r="P29" s="5">
        <v>2.11</v>
      </c>
      <c r="Q29" s="5">
        <v>15.9</v>
      </c>
      <c r="R29" s="5">
        <v>132</v>
      </c>
      <c r="W29" s="5">
        <v>33</v>
      </c>
      <c r="X29" s="5">
        <v>622</v>
      </c>
      <c r="Y29" s="5">
        <v>4.08</v>
      </c>
      <c r="Z29" s="5">
        <v>6.3</v>
      </c>
      <c r="AA29" s="5">
        <v>1.51</v>
      </c>
      <c r="AB29" s="5">
        <v>45.9</v>
      </c>
      <c r="AC29" s="5">
        <v>3.35</v>
      </c>
      <c r="AD29" s="5">
        <v>38</v>
      </c>
      <c r="AE29" s="5">
        <v>61.3</v>
      </c>
      <c r="AH29" s="5">
        <v>1.66</v>
      </c>
      <c r="AI29" s="5">
        <v>584</v>
      </c>
      <c r="AJ29" s="5">
        <v>5.9</v>
      </c>
      <c r="AK29" s="5">
        <v>22.4</v>
      </c>
      <c r="AL29" s="5">
        <v>167</v>
      </c>
      <c r="AM29" s="5">
        <v>8330.27</v>
      </c>
      <c r="AN29" s="5">
        <v>2051.08</v>
      </c>
      <c r="AO29" s="5">
        <v>2.0180722891566267</v>
      </c>
      <c r="AP29" s="5">
        <v>3.8</v>
      </c>
      <c r="AQ29" s="5">
        <v>7.29</v>
      </c>
      <c r="AR29" s="5">
        <v>1.21</v>
      </c>
      <c r="AS29" s="5">
        <v>0.72</v>
      </c>
      <c r="AT29" s="5">
        <v>19.440000000000001</v>
      </c>
      <c r="AU29" s="5">
        <v>0.09</v>
      </c>
      <c r="AV29" s="5">
        <v>0.13</v>
      </c>
      <c r="AW29" s="5">
        <v>12.72</v>
      </c>
      <c r="AX29" s="5">
        <v>15.37</v>
      </c>
      <c r="AY29" s="5">
        <v>0.03</v>
      </c>
      <c r="BB29" s="5">
        <v>27.65</v>
      </c>
    </row>
    <row r="30" spans="1:54" x14ac:dyDescent="0.3">
      <c r="A30" s="1" t="s">
        <v>14</v>
      </c>
      <c r="B30" s="1" t="s">
        <v>15</v>
      </c>
      <c r="C30" s="1" t="s">
        <v>16</v>
      </c>
      <c r="D30" s="5">
        <v>43.88</v>
      </c>
      <c r="E30" s="5">
        <v>128.94</v>
      </c>
      <c r="F30" s="1" t="s">
        <v>17</v>
      </c>
      <c r="G30" s="5" t="s">
        <v>48</v>
      </c>
      <c r="H30" s="5" t="s">
        <v>43</v>
      </c>
      <c r="I30" s="6">
        <v>1.8416281818645072E-5</v>
      </c>
      <c r="J30" s="3" t="s">
        <v>445</v>
      </c>
      <c r="K30" s="5">
        <v>48.81</v>
      </c>
      <c r="L30" s="5">
        <v>0.17</v>
      </c>
      <c r="M30" s="5">
        <v>7.79</v>
      </c>
      <c r="N30" s="5">
        <v>8.73</v>
      </c>
      <c r="O30" s="5">
        <v>4.07</v>
      </c>
      <c r="P30" s="5">
        <v>2.0099999999999998</v>
      </c>
      <c r="Q30" s="5">
        <v>16.8</v>
      </c>
      <c r="R30" s="5">
        <v>140</v>
      </c>
      <c r="W30" s="5">
        <v>32</v>
      </c>
      <c r="X30" s="5">
        <v>668</v>
      </c>
      <c r="Y30" s="5">
        <v>4.0599999999999996</v>
      </c>
      <c r="Z30" s="5">
        <v>6.09</v>
      </c>
      <c r="AA30" s="5">
        <v>1.54</v>
      </c>
      <c r="AB30" s="5">
        <v>46.9</v>
      </c>
      <c r="AC30" s="5">
        <v>2.84</v>
      </c>
      <c r="AD30" s="5">
        <v>37.4</v>
      </c>
      <c r="AE30" s="5">
        <v>60.5</v>
      </c>
      <c r="AH30" s="5">
        <v>1.72</v>
      </c>
      <c r="AI30" s="5">
        <v>622</v>
      </c>
      <c r="AJ30" s="5">
        <v>6</v>
      </c>
      <c r="AK30" s="5">
        <v>23.2</v>
      </c>
      <c r="AL30" s="5">
        <v>170</v>
      </c>
      <c r="AM30" s="5">
        <v>8510.06</v>
      </c>
      <c r="AN30" s="5">
        <v>2792.96</v>
      </c>
      <c r="AO30" s="5">
        <v>1.6511627906976745</v>
      </c>
      <c r="AP30" s="5">
        <v>3.87</v>
      </c>
      <c r="AQ30" s="5">
        <v>7.7</v>
      </c>
      <c r="AR30" s="5">
        <v>1.25</v>
      </c>
      <c r="AS30" s="5">
        <v>0.68</v>
      </c>
      <c r="AT30" s="5">
        <v>19.71</v>
      </c>
      <c r="AU30" s="5">
        <v>0.09</v>
      </c>
      <c r="AV30" s="5">
        <v>0.12</v>
      </c>
      <c r="AW30" s="5">
        <v>13.26</v>
      </c>
      <c r="AX30" s="5">
        <v>16.63</v>
      </c>
      <c r="AY30" s="5">
        <v>0.03</v>
      </c>
      <c r="BB30" s="5">
        <v>27.27</v>
      </c>
    </row>
    <row r="31" spans="1:54" x14ac:dyDescent="0.3">
      <c r="A31" s="1" t="s">
        <v>14</v>
      </c>
      <c r="B31" s="1" t="s">
        <v>15</v>
      </c>
      <c r="C31" s="1" t="s">
        <v>16</v>
      </c>
      <c r="D31" s="5">
        <v>44.065300000000001</v>
      </c>
      <c r="E31" s="5">
        <v>128.9494</v>
      </c>
      <c r="F31" s="1" t="s">
        <v>17</v>
      </c>
      <c r="G31" s="5" t="s">
        <v>49</v>
      </c>
      <c r="H31" s="5" t="s">
        <v>50</v>
      </c>
      <c r="I31" s="6">
        <v>1.3829785530106159E-5</v>
      </c>
      <c r="J31" s="3" t="s">
        <v>445</v>
      </c>
      <c r="K31" s="5">
        <v>48.06</v>
      </c>
      <c r="L31" s="5">
        <v>0.18</v>
      </c>
      <c r="M31" s="5">
        <v>7.8</v>
      </c>
      <c r="N31" s="5">
        <v>8.58</v>
      </c>
      <c r="O31" s="5">
        <v>4.41</v>
      </c>
      <c r="P31" s="5">
        <v>2.37</v>
      </c>
      <c r="Q31" s="5">
        <v>17.709186160731011</v>
      </c>
      <c r="R31" s="5">
        <v>160.1281210281652</v>
      </c>
      <c r="W31" s="5">
        <v>41.81</v>
      </c>
      <c r="X31" s="5">
        <v>697.54</v>
      </c>
      <c r="Y31" s="5">
        <v>3.07</v>
      </c>
      <c r="Z31" s="5">
        <v>6.77</v>
      </c>
      <c r="AA31" s="5">
        <v>1.3</v>
      </c>
      <c r="AB31" s="5">
        <v>60.1</v>
      </c>
      <c r="AC31" s="5">
        <v>3.2</v>
      </c>
      <c r="AD31" s="5">
        <v>43.26</v>
      </c>
      <c r="AE31" s="5">
        <v>78.150000000000006</v>
      </c>
      <c r="AH31" s="5">
        <v>1.63666194959823</v>
      </c>
      <c r="AI31" s="5">
        <v>654.34</v>
      </c>
      <c r="AJ31" s="5">
        <v>22</v>
      </c>
      <c r="AK31" s="5">
        <v>207.8</v>
      </c>
      <c r="AL31" s="5">
        <v>4.6160924545404827</v>
      </c>
      <c r="AM31" s="5">
        <v>10487.75</v>
      </c>
      <c r="AN31" s="5">
        <v>3011.16</v>
      </c>
      <c r="AO31" s="5">
        <v>1.9551991178053236</v>
      </c>
      <c r="AP31" s="5">
        <v>9.4499999999999993</v>
      </c>
      <c r="AQ31" s="5">
        <v>8.8800000000000008</v>
      </c>
      <c r="AR31" s="5">
        <v>1.39</v>
      </c>
      <c r="AS31" s="5">
        <v>0.7</v>
      </c>
      <c r="AT31" s="5">
        <v>20.45</v>
      </c>
      <c r="AU31" s="5">
        <v>0.05</v>
      </c>
      <c r="AV31" s="5">
        <v>0.09</v>
      </c>
      <c r="AW31" s="5">
        <v>10.89</v>
      </c>
      <c r="AX31" s="5">
        <v>15.12</v>
      </c>
      <c r="AY31" s="5">
        <v>0.02</v>
      </c>
      <c r="BB31" s="5">
        <v>36.72</v>
      </c>
    </row>
    <row r="32" spans="1:54" x14ac:dyDescent="0.3">
      <c r="A32" s="1" t="s">
        <v>14</v>
      </c>
      <c r="B32" s="1" t="s">
        <v>15</v>
      </c>
      <c r="C32" s="1" t="s">
        <v>16</v>
      </c>
      <c r="D32" s="5">
        <v>44.065300000000001</v>
      </c>
      <c r="E32" s="5">
        <v>128.9494</v>
      </c>
      <c r="F32" s="1" t="s">
        <v>17</v>
      </c>
      <c r="G32" s="5" t="s">
        <v>51</v>
      </c>
      <c r="H32" s="5" t="s">
        <v>52</v>
      </c>
      <c r="I32" s="6">
        <v>8.0688432717579417E-6</v>
      </c>
      <c r="J32" s="3" t="s">
        <v>445</v>
      </c>
      <c r="K32" s="5">
        <v>47.93</v>
      </c>
      <c r="L32" s="5">
        <v>0.18</v>
      </c>
      <c r="M32" s="5">
        <v>8.4499999999999993</v>
      </c>
      <c r="N32" s="5">
        <v>8.74</v>
      </c>
      <c r="O32" s="5">
        <v>4.17</v>
      </c>
      <c r="P32" s="5">
        <v>2.17</v>
      </c>
      <c r="Q32" s="5">
        <v>19.947648335521738</v>
      </c>
      <c r="R32" s="5">
        <v>167.30138992487852</v>
      </c>
      <c r="W32" s="5">
        <v>38.909999999999997</v>
      </c>
      <c r="X32" s="5">
        <v>698.84</v>
      </c>
      <c r="Y32" s="5">
        <v>2.77</v>
      </c>
      <c r="Z32" s="5">
        <v>6.18</v>
      </c>
      <c r="AA32" s="5">
        <v>1.1599999999999999</v>
      </c>
      <c r="AB32" s="5">
        <v>55.49</v>
      </c>
      <c r="AC32" s="5">
        <v>2.97</v>
      </c>
      <c r="AD32" s="5">
        <v>40.4</v>
      </c>
      <c r="AE32" s="5">
        <v>72.739999999999995</v>
      </c>
      <c r="AH32" s="5">
        <v>1.5852112764616899</v>
      </c>
      <c r="AI32" s="5">
        <v>624.75</v>
      </c>
      <c r="AJ32" s="5">
        <v>21.13</v>
      </c>
      <c r="AK32" s="5">
        <v>195.44</v>
      </c>
      <c r="AL32" s="5">
        <v>4.4255273252305836</v>
      </c>
      <c r="AM32" s="5">
        <v>10068.24</v>
      </c>
      <c r="AN32" s="5">
        <v>2662.04</v>
      </c>
      <c r="AO32" s="5">
        <v>1.8735672929536953</v>
      </c>
      <c r="AP32" s="5">
        <v>9.25</v>
      </c>
      <c r="AQ32" s="5">
        <v>8.98</v>
      </c>
      <c r="AR32" s="5">
        <v>1.37</v>
      </c>
      <c r="AS32" s="5">
        <v>0.7</v>
      </c>
      <c r="AT32" s="5">
        <v>21.27</v>
      </c>
      <c r="AU32" s="5">
        <v>0.05</v>
      </c>
      <c r="AV32" s="5">
        <v>0.08</v>
      </c>
      <c r="AW32" s="5">
        <v>11.26</v>
      </c>
      <c r="AX32" s="5">
        <v>15.47</v>
      </c>
      <c r="AY32" s="5">
        <v>0.02</v>
      </c>
      <c r="BB32" s="5">
        <v>35.01</v>
      </c>
    </row>
    <row r="33" spans="1:54" x14ac:dyDescent="0.3">
      <c r="A33" s="1" t="s">
        <v>14</v>
      </c>
      <c r="B33" s="1" t="s">
        <v>15</v>
      </c>
      <c r="C33" s="1" t="s">
        <v>16</v>
      </c>
      <c r="D33" s="5">
        <v>44.065300000000001</v>
      </c>
      <c r="E33" s="5">
        <v>128.9494</v>
      </c>
      <c r="F33" s="1" t="s">
        <v>17</v>
      </c>
      <c r="G33" s="5" t="s">
        <v>53</v>
      </c>
      <c r="H33" s="5" t="s">
        <v>50</v>
      </c>
      <c r="I33" s="6">
        <v>1.0326672781957309E-4</v>
      </c>
      <c r="J33" s="3" t="s">
        <v>445</v>
      </c>
      <c r="K33" s="5">
        <v>48.35</v>
      </c>
      <c r="L33" s="5">
        <v>0.18</v>
      </c>
      <c r="M33" s="5">
        <v>6.71</v>
      </c>
      <c r="N33" s="5">
        <v>9.07</v>
      </c>
      <c r="O33" s="5">
        <v>4.41</v>
      </c>
      <c r="P33" s="5">
        <v>2.33</v>
      </c>
      <c r="Q33" s="5">
        <v>18.762357618245257</v>
      </c>
      <c r="R33" s="5">
        <v>186.24209526306981</v>
      </c>
      <c r="W33" s="5">
        <v>41.53</v>
      </c>
      <c r="X33" s="5">
        <v>727.34</v>
      </c>
      <c r="Y33" s="5">
        <v>2.9</v>
      </c>
      <c r="Z33" s="5">
        <v>6.75</v>
      </c>
      <c r="AA33" s="5">
        <v>1.27</v>
      </c>
      <c r="AB33" s="5">
        <v>60.7</v>
      </c>
      <c r="AC33" s="5">
        <v>3.27</v>
      </c>
      <c r="AD33" s="5">
        <v>44.32</v>
      </c>
      <c r="AE33" s="5">
        <v>81.069999999999993</v>
      </c>
      <c r="AH33" s="5">
        <v>1.79837806712833</v>
      </c>
      <c r="AI33" s="5">
        <v>695.54</v>
      </c>
      <c r="AJ33" s="5">
        <v>23.76</v>
      </c>
      <c r="AK33" s="5">
        <v>217.54</v>
      </c>
      <c r="AL33" s="5">
        <v>4.9629245153279724</v>
      </c>
      <c r="AM33" s="5">
        <v>11326.77</v>
      </c>
      <c r="AN33" s="5">
        <v>2967.52</v>
      </c>
      <c r="AO33" s="5">
        <v>1.8183050937790695</v>
      </c>
      <c r="AP33" s="5">
        <v>9.16</v>
      </c>
      <c r="AQ33" s="5">
        <v>8.99</v>
      </c>
      <c r="AR33" s="5">
        <v>1.37</v>
      </c>
      <c r="AS33" s="5">
        <v>0.68</v>
      </c>
      <c r="AT33" s="5">
        <v>20.010000000000002</v>
      </c>
      <c r="AU33" s="5">
        <v>0.05</v>
      </c>
      <c r="AV33" s="5">
        <v>0.08</v>
      </c>
      <c r="AW33" s="5">
        <v>11.46</v>
      </c>
      <c r="AX33" s="5">
        <v>15.69</v>
      </c>
      <c r="AY33" s="5">
        <v>0.02</v>
      </c>
      <c r="BB33" s="5">
        <v>33.75</v>
      </c>
    </row>
    <row r="34" spans="1:54" x14ac:dyDescent="0.3">
      <c r="A34" s="1" t="s">
        <v>14</v>
      </c>
      <c r="B34" s="1" t="s">
        <v>15</v>
      </c>
      <c r="C34" s="1" t="s">
        <v>16</v>
      </c>
      <c r="D34" s="5">
        <v>44.1</v>
      </c>
      <c r="E34" s="5">
        <v>128.75</v>
      </c>
      <c r="F34" s="1" t="s">
        <v>17</v>
      </c>
      <c r="G34" s="5" t="s">
        <v>54</v>
      </c>
      <c r="H34" s="5" t="s">
        <v>55</v>
      </c>
      <c r="I34" s="6">
        <v>2.1174464563955549E-5</v>
      </c>
      <c r="J34" s="3" t="s">
        <v>445</v>
      </c>
      <c r="K34" s="5">
        <v>47.43</v>
      </c>
      <c r="L34" s="5">
        <v>0.17</v>
      </c>
      <c r="M34" s="5">
        <v>8.0399999999999991</v>
      </c>
      <c r="N34" s="5">
        <v>8.4600000000000009</v>
      </c>
      <c r="O34" s="5">
        <v>4.47</v>
      </c>
      <c r="P34" s="5">
        <v>2.3199999999999998</v>
      </c>
      <c r="Q34" s="5">
        <v>0</v>
      </c>
      <c r="R34" s="5">
        <v>0</v>
      </c>
      <c r="W34" s="5">
        <v>51.4</v>
      </c>
      <c r="X34" s="5">
        <v>1011</v>
      </c>
      <c r="Y34" s="5">
        <v>5.15</v>
      </c>
      <c r="Z34" s="5">
        <v>8.1300000000000008</v>
      </c>
      <c r="AA34" s="5">
        <v>1.98</v>
      </c>
      <c r="AB34" s="5">
        <v>73.099999999999994</v>
      </c>
      <c r="AC34" s="5">
        <v>4.21</v>
      </c>
      <c r="AD34" s="5">
        <v>59.2</v>
      </c>
      <c r="AE34" s="5">
        <v>106.1</v>
      </c>
      <c r="AH34" s="5">
        <v>1.64</v>
      </c>
      <c r="AI34" s="5">
        <v>652</v>
      </c>
      <c r="AJ34" s="5">
        <v>25.2</v>
      </c>
      <c r="AK34" s="5">
        <v>246</v>
      </c>
      <c r="AL34" s="5">
        <v>5.55</v>
      </c>
      <c r="AM34" s="5">
        <v>10128.17</v>
      </c>
      <c r="AN34" s="5">
        <v>3142.08</v>
      </c>
      <c r="AO34" s="5">
        <v>2.5670731707317076</v>
      </c>
      <c r="AP34" s="5">
        <v>9.76</v>
      </c>
      <c r="AQ34" s="5">
        <v>8.99</v>
      </c>
      <c r="AR34" s="5">
        <v>1.23</v>
      </c>
      <c r="AS34" s="5">
        <v>0.7</v>
      </c>
      <c r="AT34" s="5">
        <v>22.27</v>
      </c>
      <c r="AU34" s="5">
        <v>7.0000000000000007E-2</v>
      </c>
      <c r="AV34" s="5">
        <v>0.11</v>
      </c>
      <c r="AW34" s="5">
        <v>8.92</v>
      </c>
      <c r="AX34" s="5">
        <v>11.01</v>
      </c>
      <c r="AY34" s="5">
        <v>0.03</v>
      </c>
      <c r="BB34" s="5">
        <v>44.57</v>
      </c>
    </row>
    <row r="35" spans="1:54" x14ac:dyDescent="0.3">
      <c r="A35" s="1" t="s">
        <v>14</v>
      </c>
      <c r="B35" s="1" t="s">
        <v>15</v>
      </c>
      <c r="C35" s="1" t="s">
        <v>16</v>
      </c>
      <c r="D35" s="5">
        <v>44.1</v>
      </c>
      <c r="E35" s="5">
        <v>128.75</v>
      </c>
      <c r="F35" s="1" t="s">
        <v>17</v>
      </c>
      <c r="G35" s="5" t="s">
        <v>56</v>
      </c>
      <c r="H35" s="5" t="s">
        <v>55</v>
      </c>
      <c r="I35" s="6">
        <v>8.0403508036397398E-5</v>
      </c>
      <c r="J35" s="3" t="s">
        <v>445</v>
      </c>
      <c r="K35" s="5">
        <v>47.84</v>
      </c>
      <c r="L35" s="5">
        <v>0.17</v>
      </c>
      <c r="M35" s="5">
        <v>8.1300000000000008</v>
      </c>
      <c r="N35" s="5">
        <v>7.96</v>
      </c>
      <c r="O35" s="5">
        <v>4.92</v>
      </c>
      <c r="P35" s="5">
        <v>2.88</v>
      </c>
      <c r="Q35" s="5">
        <v>0</v>
      </c>
      <c r="R35" s="5">
        <v>0</v>
      </c>
      <c r="W35" s="5">
        <v>57.7</v>
      </c>
      <c r="X35" s="5">
        <v>960</v>
      </c>
      <c r="Y35" s="5">
        <v>7.02</v>
      </c>
      <c r="Z35" s="5">
        <v>7.55</v>
      </c>
      <c r="AA35" s="5">
        <v>1.93</v>
      </c>
      <c r="AB35" s="5">
        <v>68.900000000000006</v>
      </c>
      <c r="AC35" s="5">
        <v>4</v>
      </c>
      <c r="AD35" s="5">
        <v>56.5</v>
      </c>
      <c r="AE35" s="5">
        <v>101.9</v>
      </c>
      <c r="AH35" s="5">
        <v>1.68</v>
      </c>
      <c r="AI35" s="5">
        <v>636</v>
      </c>
      <c r="AJ35" s="5">
        <v>25</v>
      </c>
      <c r="AK35" s="5">
        <v>239</v>
      </c>
      <c r="AL35" s="5">
        <v>5.52</v>
      </c>
      <c r="AM35" s="5">
        <v>10248.030000000001</v>
      </c>
      <c r="AN35" s="5">
        <v>3971.24</v>
      </c>
      <c r="AO35" s="5">
        <v>2.3809523809523809</v>
      </c>
      <c r="AP35" s="5">
        <v>9.56</v>
      </c>
      <c r="AQ35" s="5">
        <v>9.1300000000000008</v>
      </c>
      <c r="AR35" s="5">
        <v>1.22</v>
      </c>
      <c r="AS35" s="5">
        <v>0.84</v>
      </c>
      <c r="AT35" s="5">
        <v>22.17</v>
      </c>
      <c r="AU35" s="5">
        <v>0.1</v>
      </c>
      <c r="AV35" s="5">
        <v>0.16</v>
      </c>
      <c r="AW35" s="5">
        <v>9.23</v>
      </c>
      <c r="AX35" s="5">
        <v>11.26</v>
      </c>
      <c r="AY35" s="5">
        <v>0.03</v>
      </c>
      <c r="BB35" s="5">
        <v>41.01</v>
      </c>
    </row>
    <row r="36" spans="1:54" x14ac:dyDescent="0.3">
      <c r="A36" s="1" t="s">
        <v>14</v>
      </c>
      <c r="B36" s="1" t="s">
        <v>15</v>
      </c>
      <c r="C36" s="1" t="s">
        <v>16</v>
      </c>
      <c r="D36" s="5">
        <v>44.1</v>
      </c>
      <c r="E36" s="5">
        <v>128.75</v>
      </c>
      <c r="F36" s="1" t="s">
        <v>17</v>
      </c>
      <c r="G36" s="5" t="s">
        <v>57</v>
      </c>
      <c r="H36" s="5" t="s">
        <v>58</v>
      </c>
      <c r="I36" s="6">
        <v>1.1198054380656691E-5</v>
      </c>
      <c r="J36" s="3" t="s">
        <v>445</v>
      </c>
      <c r="K36" s="5">
        <v>50.08</v>
      </c>
      <c r="L36" s="5">
        <v>0.14000000000000001</v>
      </c>
      <c r="M36" s="5">
        <v>4.3899999999999997</v>
      </c>
      <c r="N36" s="5">
        <v>5.64</v>
      </c>
      <c r="O36" s="5">
        <v>6.09</v>
      </c>
      <c r="P36" s="5">
        <v>4.07</v>
      </c>
      <c r="Q36" s="5">
        <v>0</v>
      </c>
      <c r="R36" s="5">
        <v>0</v>
      </c>
      <c r="W36" s="5">
        <v>85.9</v>
      </c>
      <c r="X36" s="5">
        <v>1047</v>
      </c>
      <c r="Y36" s="5">
        <v>10</v>
      </c>
      <c r="Z36" s="5">
        <v>9.5299999999999994</v>
      </c>
      <c r="AA36" s="5">
        <v>2.62</v>
      </c>
      <c r="AB36" s="5">
        <v>89.2</v>
      </c>
      <c r="AC36" s="5">
        <v>5.66</v>
      </c>
      <c r="AD36" s="5">
        <v>65.2</v>
      </c>
      <c r="AE36" s="5">
        <v>118.7</v>
      </c>
      <c r="AH36" s="5">
        <v>1.07</v>
      </c>
      <c r="AI36" s="5">
        <v>697</v>
      </c>
      <c r="AJ36" s="5">
        <v>20.5</v>
      </c>
      <c r="AK36" s="5">
        <v>355</v>
      </c>
      <c r="AL36" s="5">
        <v>8.0399999999999991</v>
      </c>
      <c r="AM36" s="5">
        <v>10727.47</v>
      </c>
      <c r="AN36" s="5">
        <v>4494.92</v>
      </c>
      <c r="AO36" s="5">
        <v>5.2897196261682238</v>
      </c>
      <c r="AP36" s="5">
        <v>17.32</v>
      </c>
      <c r="AQ36" s="5">
        <v>9.36</v>
      </c>
      <c r="AR36" s="5">
        <v>1.37</v>
      </c>
      <c r="AS36" s="5">
        <v>0.96</v>
      </c>
      <c r="AT36" s="5">
        <v>20.77</v>
      </c>
      <c r="AU36" s="5">
        <v>0.11</v>
      </c>
      <c r="AV36" s="5">
        <v>0.2</v>
      </c>
      <c r="AW36" s="5">
        <v>7.81</v>
      </c>
      <c r="AX36" s="5">
        <v>10.69</v>
      </c>
      <c r="AY36" s="5">
        <v>0.03</v>
      </c>
      <c r="BB36" s="5">
        <v>83.36</v>
      </c>
    </row>
    <row r="37" spans="1:54" x14ac:dyDescent="0.3">
      <c r="A37" s="1" t="s">
        <v>14</v>
      </c>
      <c r="B37" s="1" t="s">
        <v>15</v>
      </c>
      <c r="C37" s="1" t="s">
        <v>16</v>
      </c>
      <c r="D37" s="5">
        <v>44.1</v>
      </c>
      <c r="E37" s="5">
        <v>128.75</v>
      </c>
      <c r="F37" s="1" t="s">
        <v>17</v>
      </c>
      <c r="G37" s="5" t="s">
        <v>59</v>
      </c>
      <c r="H37" s="5" t="s">
        <v>58</v>
      </c>
      <c r="I37" s="6">
        <v>6.7923916503787041E-5</v>
      </c>
      <c r="J37" s="3" t="s">
        <v>445</v>
      </c>
      <c r="K37" s="5">
        <v>51.08</v>
      </c>
      <c r="L37" s="5">
        <v>0.13</v>
      </c>
      <c r="M37" s="5">
        <v>7.31</v>
      </c>
      <c r="N37" s="5">
        <v>7.12</v>
      </c>
      <c r="O37" s="5">
        <v>3.78</v>
      </c>
      <c r="P37" s="5">
        <v>4.5</v>
      </c>
      <c r="Q37" s="5">
        <v>0</v>
      </c>
      <c r="R37" s="5">
        <v>0</v>
      </c>
      <c r="W37" s="5">
        <v>58.1</v>
      </c>
      <c r="X37" s="5">
        <v>1075</v>
      </c>
      <c r="Y37" s="5">
        <v>6.3</v>
      </c>
      <c r="Z37" s="5">
        <v>8.15</v>
      </c>
      <c r="AA37" s="5">
        <v>1.93</v>
      </c>
      <c r="AB37" s="5">
        <v>82.4</v>
      </c>
      <c r="AC37" s="5">
        <v>4.99</v>
      </c>
      <c r="AD37" s="5">
        <v>66.8</v>
      </c>
      <c r="AE37" s="5">
        <v>112.6</v>
      </c>
      <c r="AH37" s="5">
        <v>1.57</v>
      </c>
      <c r="AI37" s="5">
        <v>678</v>
      </c>
      <c r="AJ37" s="5">
        <v>27.5</v>
      </c>
      <c r="AK37" s="5">
        <v>259</v>
      </c>
      <c r="AL37" s="5">
        <v>5.39</v>
      </c>
      <c r="AM37" s="5">
        <v>13484.25</v>
      </c>
      <c r="AN37" s="5">
        <v>4058.52</v>
      </c>
      <c r="AO37" s="5">
        <v>3.1783439490445859</v>
      </c>
      <c r="AP37" s="5">
        <v>9.42</v>
      </c>
      <c r="AQ37" s="5">
        <v>10.11</v>
      </c>
      <c r="AR37" s="5">
        <v>1.23</v>
      </c>
      <c r="AS37" s="5">
        <v>0.71</v>
      </c>
      <c r="AT37" s="5">
        <v>23.02</v>
      </c>
      <c r="AU37" s="5">
        <v>0.08</v>
      </c>
      <c r="AV37" s="5">
        <v>0.13</v>
      </c>
      <c r="AW37" s="5">
        <v>8.23</v>
      </c>
      <c r="AX37" s="5">
        <v>10.15</v>
      </c>
      <c r="AY37" s="5">
        <v>0.02</v>
      </c>
      <c r="BB37" s="5">
        <v>52.48</v>
      </c>
    </row>
    <row r="38" spans="1:54" x14ac:dyDescent="0.3">
      <c r="A38" s="1" t="s">
        <v>14</v>
      </c>
      <c r="B38" s="1" t="s">
        <v>15</v>
      </c>
      <c r="C38" s="1" t="s">
        <v>16</v>
      </c>
      <c r="D38" s="5">
        <v>44.1</v>
      </c>
      <c r="E38" s="5">
        <v>128.75</v>
      </c>
      <c r="F38" s="1" t="s">
        <v>17</v>
      </c>
      <c r="G38" s="5" t="s">
        <v>60</v>
      </c>
      <c r="H38" s="5" t="s">
        <v>55</v>
      </c>
      <c r="I38" s="6">
        <v>4.6868150093359873E-5</v>
      </c>
      <c r="J38" s="3" t="s">
        <v>445</v>
      </c>
      <c r="K38" s="5">
        <v>46.39</v>
      </c>
      <c r="L38" s="5">
        <v>0.17</v>
      </c>
      <c r="M38" s="5">
        <v>9.0299999999999994</v>
      </c>
      <c r="N38" s="5">
        <v>8.3000000000000007</v>
      </c>
      <c r="O38" s="5">
        <v>4.7699999999999996</v>
      </c>
      <c r="P38" s="5">
        <v>3</v>
      </c>
      <c r="Q38" s="5">
        <v>0</v>
      </c>
      <c r="R38" s="5">
        <v>0</v>
      </c>
      <c r="W38" s="5">
        <v>56.5</v>
      </c>
      <c r="X38" s="5">
        <v>1066</v>
      </c>
      <c r="Y38" s="5">
        <v>5.91</v>
      </c>
      <c r="Z38" s="5">
        <v>8.4700000000000006</v>
      </c>
      <c r="AA38" s="5">
        <v>2.1800000000000002</v>
      </c>
      <c r="AB38" s="5">
        <v>76.5</v>
      </c>
      <c r="AC38" s="5">
        <v>4.43</v>
      </c>
      <c r="AD38" s="5">
        <v>62.5</v>
      </c>
      <c r="AE38" s="5">
        <v>111.6</v>
      </c>
      <c r="AH38" s="5">
        <v>1.56</v>
      </c>
      <c r="AI38" s="5">
        <v>680</v>
      </c>
      <c r="AJ38" s="5">
        <v>25.8</v>
      </c>
      <c r="AK38" s="5">
        <v>254</v>
      </c>
      <c r="AL38" s="5">
        <v>5.57</v>
      </c>
      <c r="AM38" s="5">
        <v>10607.61</v>
      </c>
      <c r="AN38" s="5">
        <v>4320.3599999999997</v>
      </c>
      <c r="AO38" s="5">
        <v>2.8397435897435894</v>
      </c>
      <c r="AP38" s="5">
        <v>9.84</v>
      </c>
      <c r="AQ38" s="5">
        <v>9.0299999999999994</v>
      </c>
      <c r="AR38" s="5">
        <v>1.22</v>
      </c>
      <c r="AS38" s="5">
        <v>0.74</v>
      </c>
      <c r="AT38" s="5">
        <v>22.3</v>
      </c>
      <c r="AU38" s="5">
        <v>0.08</v>
      </c>
      <c r="AV38" s="5">
        <v>0.12</v>
      </c>
      <c r="AW38" s="5">
        <v>8.89</v>
      </c>
      <c r="AX38" s="5">
        <v>10.88</v>
      </c>
      <c r="AY38" s="5">
        <v>0.03</v>
      </c>
      <c r="BB38" s="5">
        <v>49.04</v>
      </c>
    </row>
    <row r="39" spans="1:54" x14ac:dyDescent="0.3">
      <c r="A39" s="1" t="s">
        <v>14</v>
      </c>
      <c r="B39" s="1" t="s">
        <v>15</v>
      </c>
      <c r="C39" s="1" t="s">
        <v>16</v>
      </c>
      <c r="D39" s="5">
        <v>44.1</v>
      </c>
      <c r="E39" s="5">
        <v>128.75</v>
      </c>
      <c r="F39" s="1" t="s">
        <v>17</v>
      </c>
      <c r="G39" s="5" t="s">
        <v>61</v>
      </c>
      <c r="H39" s="5" t="s">
        <v>58</v>
      </c>
      <c r="I39" s="6">
        <v>1.900595816550776E-5</v>
      </c>
      <c r="J39" s="3" t="s">
        <v>445</v>
      </c>
      <c r="K39" s="5">
        <v>46.78</v>
      </c>
      <c r="L39" s="5">
        <v>0.15</v>
      </c>
      <c r="M39" s="5">
        <v>4.67</v>
      </c>
      <c r="N39" s="5">
        <v>5.77</v>
      </c>
      <c r="O39" s="5">
        <v>6.2</v>
      </c>
      <c r="P39" s="5">
        <v>4.59</v>
      </c>
      <c r="Q39" s="5">
        <v>0</v>
      </c>
      <c r="R39" s="5">
        <v>0</v>
      </c>
      <c r="W39" s="5">
        <v>82.2</v>
      </c>
      <c r="X39" s="5">
        <v>1136</v>
      </c>
      <c r="Y39" s="5">
        <v>7.31</v>
      </c>
      <c r="Z39" s="5">
        <v>11.22</v>
      </c>
      <c r="AA39" s="5">
        <v>2.71</v>
      </c>
      <c r="AB39" s="5">
        <v>93.8</v>
      </c>
      <c r="AC39" s="5">
        <v>5.75</v>
      </c>
      <c r="AD39" s="5">
        <v>67.3</v>
      </c>
      <c r="AE39" s="5">
        <v>123</v>
      </c>
      <c r="AH39" s="5">
        <v>0.87</v>
      </c>
      <c r="AI39" s="5">
        <v>689</v>
      </c>
      <c r="AJ39" s="5">
        <v>20.100000000000001</v>
      </c>
      <c r="AK39" s="5">
        <v>385</v>
      </c>
      <c r="AL39" s="5">
        <v>8.4600000000000009</v>
      </c>
      <c r="AM39" s="5">
        <v>11506.56</v>
      </c>
      <c r="AN39" s="5">
        <v>4625.84</v>
      </c>
      <c r="AO39" s="5">
        <v>6.6091954022988508</v>
      </c>
      <c r="AP39" s="5">
        <v>19.149999999999999</v>
      </c>
      <c r="AQ39" s="5">
        <v>8.36</v>
      </c>
      <c r="AR39" s="5">
        <v>1.39</v>
      </c>
      <c r="AS39" s="5">
        <v>0.88</v>
      </c>
      <c r="AT39" s="5">
        <v>21.64</v>
      </c>
      <c r="AU39" s="5">
        <v>0.08</v>
      </c>
      <c r="AV39" s="5">
        <v>0.14000000000000001</v>
      </c>
      <c r="AW39" s="5">
        <v>7.35</v>
      </c>
      <c r="AX39" s="5">
        <v>10.24</v>
      </c>
      <c r="AY39" s="5">
        <v>0.03</v>
      </c>
      <c r="BB39" s="5">
        <v>107.82</v>
      </c>
    </row>
    <row r="40" spans="1:54" x14ac:dyDescent="0.3">
      <c r="A40" s="1" t="s">
        <v>14</v>
      </c>
      <c r="B40" s="1" t="s">
        <v>15</v>
      </c>
      <c r="C40" s="1" t="s">
        <v>16</v>
      </c>
      <c r="D40" s="5">
        <v>43.5</v>
      </c>
      <c r="E40" s="5">
        <v>129</v>
      </c>
      <c r="F40" s="1" t="s">
        <v>17</v>
      </c>
      <c r="G40" s="5" t="s">
        <v>62</v>
      </c>
      <c r="H40" s="5" t="s">
        <v>63</v>
      </c>
      <c r="I40" s="6">
        <v>1.805769425118342E-4</v>
      </c>
      <c r="J40" s="3" t="s">
        <v>445</v>
      </c>
      <c r="K40" s="5">
        <v>49.02</v>
      </c>
      <c r="L40" s="5">
        <v>0.28000000000000003</v>
      </c>
      <c r="M40" s="5">
        <v>8.31</v>
      </c>
      <c r="N40" s="5">
        <v>8.48</v>
      </c>
      <c r="O40" s="5">
        <v>3.58</v>
      </c>
      <c r="P40" s="5">
        <v>2.11</v>
      </c>
      <c r="Q40" s="5">
        <v>15.7</v>
      </c>
      <c r="R40" s="5">
        <v>127</v>
      </c>
      <c r="W40" s="5">
        <v>31</v>
      </c>
      <c r="X40" s="5">
        <v>714</v>
      </c>
      <c r="Y40" s="5">
        <v>6.7</v>
      </c>
      <c r="Z40" s="5">
        <v>7.16</v>
      </c>
      <c r="AA40" s="5">
        <v>2.0299999999999998</v>
      </c>
      <c r="AB40" s="5">
        <v>49.7</v>
      </c>
      <c r="AC40" s="5">
        <v>4.47</v>
      </c>
      <c r="AD40" s="5">
        <v>43.4</v>
      </c>
      <c r="AE40" s="5">
        <v>71.2</v>
      </c>
      <c r="AH40" s="5">
        <v>1.68</v>
      </c>
      <c r="AI40" s="5">
        <v>827</v>
      </c>
      <c r="AJ40" s="5">
        <v>23.7</v>
      </c>
      <c r="AK40" s="5">
        <v>180</v>
      </c>
      <c r="AL40" s="5">
        <v>5.63</v>
      </c>
      <c r="AM40" s="5">
        <v>8270.34</v>
      </c>
      <c r="AN40" s="5">
        <v>3622.12</v>
      </c>
      <c r="AO40" s="5">
        <v>2.6607142857142856</v>
      </c>
      <c r="AP40" s="5">
        <v>7.59</v>
      </c>
      <c r="AQ40" s="5">
        <v>6.94</v>
      </c>
      <c r="AR40" s="5">
        <v>1.1499999999999999</v>
      </c>
      <c r="AS40" s="5">
        <v>0.62</v>
      </c>
      <c r="AT40" s="5">
        <v>20.64</v>
      </c>
      <c r="AU40" s="5">
        <v>0.13</v>
      </c>
      <c r="AV40" s="5">
        <v>0.19</v>
      </c>
      <c r="AW40" s="5">
        <v>16.64</v>
      </c>
      <c r="AX40" s="5">
        <v>19.059999999999999</v>
      </c>
      <c r="AY40" s="5">
        <v>0.04</v>
      </c>
      <c r="BB40" s="5">
        <v>29.58</v>
      </c>
    </row>
    <row r="41" spans="1:54" x14ac:dyDescent="0.3">
      <c r="A41" s="1" t="s">
        <v>14</v>
      </c>
      <c r="B41" s="1" t="s">
        <v>15</v>
      </c>
      <c r="C41" s="1" t="s">
        <v>16</v>
      </c>
      <c r="D41" s="5">
        <v>43.5</v>
      </c>
      <c r="E41" s="5">
        <v>129</v>
      </c>
      <c r="F41" s="1" t="s">
        <v>17</v>
      </c>
      <c r="G41" s="5" t="s">
        <v>64</v>
      </c>
      <c r="H41" s="5" t="s">
        <v>65</v>
      </c>
      <c r="I41" s="6">
        <v>7.2226721385959536E-5</v>
      </c>
      <c r="J41" s="3" t="s">
        <v>445</v>
      </c>
      <c r="K41" s="5">
        <v>48.81</v>
      </c>
      <c r="L41" s="5">
        <v>0.17</v>
      </c>
      <c r="M41" s="5">
        <v>7.71</v>
      </c>
      <c r="N41" s="5">
        <v>8.5</v>
      </c>
      <c r="O41" s="5">
        <v>4.22</v>
      </c>
      <c r="P41" s="5">
        <v>2.1800000000000002</v>
      </c>
      <c r="Q41" s="5">
        <v>15.2</v>
      </c>
      <c r="R41" s="5">
        <v>135</v>
      </c>
      <c r="W41" s="5">
        <v>37</v>
      </c>
      <c r="X41" s="5">
        <v>668</v>
      </c>
      <c r="Y41" s="5">
        <v>7</v>
      </c>
      <c r="Z41" s="5">
        <v>6.96</v>
      </c>
      <c r="AA41" s="5">
        <v>1.79</v>
      </c>
      <c r="AB41" s="5">
        <v>48.7</v>
      </c>
      <c r="AC41" s="5">
        <v>3.83</v>
      </c>
      <c r="AD41" s="5">
        <v>42.5</v>
      </c>
      <c r="AE41" s="5">
        <v>68.3</v>
      </c>
      <c r="AH41" s="5">
        <v>1.64</v>
      </c>
      <c r="AI41" s="5">
        <v>642</v>
      </c>
      <c r="AJ41" s="5">
        <v>22.4</v>
      </c>
      <c r="AK41" s="5">
        <v>175</v>
      </c>
      <c r="AL41" s="5">
        <v>4.17</v>
      </c>
      <c r="AM41" s="5">
        <v>8450.1299999999992</v>
      </c>
      <c r="AN41" s="5">
        <v>3229.36</v>
      </c>
      <c r="AO41" s="5">
        <v>2.3353658536585367</v>
      </c>
      <c r="AP41" s="5">
        <v>7.81</v>
      </c>
      <c r="AQ41" s="5">
        <v>7</v>
      </c>
      <c r="AR41" s="5">
        <v>1.1499999999999999</v>
      </c>
      <c r="AS41" s="5">
        <v>0.76</v>
      </c>
      <c r="AT41" s="5">
        <v>19.71</v>
      </c>
      <c r="AU41" s="5">
        <v>0.14000000000000001</v>
      </c>
      <c r="AV41" s="5">
        <v>0.21</v>
      </c>
      <c r="AW41" s="5">
        <v>13.18</v>
      </c>
      <c r="AX41" s="5">
        <v>15.11</v>
      </c>
      <c r="AY41" s="5">
        <v>0.04</v>
      </c>
      <c r="BB41" s="5">
        <v>29.7</v>
      </c>
    </row>
    <row r="42" spans="1:54" x14ac:dyDescent="0.3">
      <c r="A42" s="1" t="s">
        <v>14</v>
      </c>
      <c r="B42" s="1" t="s">
        <v>15</v>
      </c>
      <c r="C42" s="1" t="s">
        <v>16</v>
      </c>
      <c r="D42" s="5">
        <v>43.5</v>
      </c>
      <c r="E42" s="5">
        <v>129</v>
      </c>
      <c r="F42" s="1" t="s">
        <v>17</v>
      </c>
      <c r="G42" s="5" t="s">
        <v>66</v>
      </c>
      <c r="H42" s="5" t="s">
        <v>65</v>
      </c>
      <c r="I42" s="6">
        <v>3.968476812588051E-5</v>
      </c>
      <c r="J42" s="3" t="s">
        <v>445</v>
      </c>
      <c r="K42" s="5">
        <v>48.4</v>
      </c>
      <c r="L42" s="5">
        <v>0.2</v>
      </c>
      <c r="M42" s="5">
        <v>8.57</v>
      </c>
      <c r="N42" s="5">
        <v>8.73</v>
      </c>
      <c r="O42" s="5">
        <v>3.69</v>
      </c>
      <c r="P42" s="5">
        <v>2.04</v>
      </c>
      <c r="Q42" s="5">
        <v>16.3</v>
      </c>
      <c r="R42" s="5">
        <v>139</v>
      </c>
      <c r="W42" s="5">
        <v>31</v>
      </c>
      <c r="X42" s="5">
        <v>645</v>
      </c>
      <c r="Y42" s="5">
        <v>6.3</v>
      </c>
      <c r="Z42" s="5">
        <v>6.64</v>
      </c>
      <c r="AA42" s="5">
        <v>1.69</v>
      </c>
      <c r="AB42" s="5">
        <v>48.8</v>
      </c>
      <c r="AC42" s="5">
        <v>3.52</v>
      </c>
      <c r="AD42" s="5">
        <v>41.4</v>
      </c>
      <c r="AE42" s="5">
        <v>66.599999999999994</v>
      </c>
      <c r="AH42" s="5">
        <v>1.61</v>
      </c>
      <c r="AI42" s="5">
        <v>642</v>
      </c>
      <c r="AJ42" s="5">
        <v>22.5</v>
      </c>
      <c r="AK42" s="5">
        <v>172</v>
      </c>
      <c r="AL42" s="5">
        <v>4.05</v>
      </c>
      <c r="AM42" s="5">
        <v>8330.27</v>
      </c>
      <c r="AN42" s="5">
        <v>2880.24</v>
      </c>
      <c r="AO42" s="5">
        <v>2.1863354037267078</v>
      </c>
      <c r="AP42" s="5">
        <v>7.64</v>
      </c>
      <c r="AQ42" s="5">
        <v>7.35</v>
      </c>
      <c r="AR42" s="5">
        <v>1.18</v>
      </c>
      <c r="AS42" s="5">
        <v>0.64</v>
      </c>
      <c r="AT42" s="5">
        <v>19.43</v>
      </c>
      <c r="AU42" s="5">
        <v>0.13</v>
      </c>
      <c r="AV42" s="5">
        <v>0.19</v>
      </c>
      <c r="AW42" s="5">
        <v>13.16</v>
      </c>
      <c r="AX42" s="5">
        <v>15.51</v>
      </c>
      <c r="AY42" s="5">
        <v>0.03</v>
      </c>
      <c r="BB42" s="5">
        <v>30.31</v>
      </c>
    </row>
    <row r="43" spans="1:54" x14ac:dyDescent="0.3">
      <c r="A43" s="1" t="s">
        <v>14</v>
      </c>
      <c r="B43" s="1" t="s">
        <v>15</v>
      </c>
      <c r="C43" s="1" t="s">
        <v>16</v>
      </c>
      <c r="D43" s="5">
        <v>43.88</v>
      </c>
      <c r="E43" s="5">
        <v>128.94</v>
      </c>
      <c r="F43" s="1" t="s">
        <v>17</v>
      </c>
      <c r="G43" s="5" t="s">
        <v>67</v>
      </c>
      <c r="H43" s="5" t="s">
        <v>68</v>
      </c>
      <c r="I43" s="6">
        <v>7.5476718848221944E-6</v>
      </c>
      <c r="J43" s="3" t="s">
        <v>445</v>
      </c>
      <c r="K43" s="5">
        <v>47.88</v>
      </c>
      <c r="L43" s="5">
        <v>0.18</v>
      </c>
      <c r="M43" s="5">
        <v>7.97</v>
      </c>
      <c r="N43" s="5">
        <v>8.6300000000000008</v>
      </c>
      <c r="O43" s="5">
        <v>4.54</v>
      </c>
      <c r="P43" s="5">
        <v>2.37</v>
      </c>
      <c r="Q43" s="5">
        <v>12.89</v>
      </c>
      <c r="R43" s="5">
        <v>152</v>
      </c>
      <c r="W43" s="5">
        <v>43</v>
      </c>
      <c r="X43" s="5">
        <v>649</v>
      </c>
      <c r="Y43" s="5">
        <v>0</v>
      </c>
      <c r="Z43" s="5">
        <v>8</v>
      </c>
      <c r="AA43" s="5">
        <v>1.8</v>
      </c>
      <c r="AB43" s="5">
        <v>62</v>
      </c>
      <c r="AC43" s="5">
        <v>3</v>
      </c>
      <c r="AD43" s="5">
        <v>48.12</v>
      </c>
      <c r="AE43" s="5">
        <v>73.39</v>
      </c>
      <c r="AH43" s="5">
        <v>1.34</v>
      </c>
      <c r="AI43" s="5">
        <v>561</v>
      </c>
      <c r="AJ43" s="5">
        <v>18.64</v>
      </c>
      <c r="AK43" s="5">
        <v>184</v>
      </c>
      <c r="AL43" s="5">
        <v>4.0999999999999996</v>
      </c>
      <c r="AM43" s="5">
        <v>10068.24</v>
      </c>
      <c r="AN43" s="5">
        <v>2967.52</v>
      </c>
      <c r="AO43" s="5">
        <v>2.2388059701492535</v>
      </c>
      <c r="AP43" s="5">
        <v>9.8699999999999992</v>
      </c>
      <c r="AQ43" s="5">
        <v>7.75</v>
      </c>
      <c r="AR43" s="5">
        <v>1.29</v>
      </c>
      <c r="AS43" s="5">
        <v>0.69</v>
      </c>
      <c r="AT43" s="5">
        <v>21.84</v>
      </c>
      <c r="AU43" s="5">
        <v>0</v>
      </c>
      <c r="AV43" s="5">
        <v>0</v>
      </c>
      <c r="AW43" s="5">
        <v>9.0500000000000007</v>
      </c>
      <c r="AX43" s="5">
        <v>11.66</v>
      </c>
      <c r="AY43" s="5">
        <v>0.03</v>
      </c>
      <c r="BB43" s="5">
        <v>46.27</v>
      </c>
    </row>
    <row r="44" spans="1:54" x14ac:dyDescent="0.3">
      <c r="A44" s="1" t="s">
        <v>14</v>
      </c>
      <c r="B44" s="1" t="s">
        <v>15</v>
      </c>
      <c r="C44" s="1" t="s">
        <v>16</v>
      </c>
      <c r="D44" s="5">
        <v>43.88</v>
      </c>
      <c r="E44" s="5">
        <v>128.94</v>
      </c>
      <c r="F44" s="1" t="s">
        <v>17</v>
      </c>
      <c r="G44" s="5" t="s">
        <v>69</v>
      </c>
      <c r="H44" s="5" t="s">
        <v>70</v>
      </c>
      <c r="I44" s="6">
        <v>8.8976863771677017E-3</v>
      </c>
      <c r="J44" s="3" t="s">
        <v>445</v>
      </c>
      <c r="K44" s="5">
        <v>47.28</v>
      </c>
      <c r="L44" s="5">
        <v>0.18</v>
      </c>
      <c r="M44" s="5">
        <v>8.1199999999999992</v>
      </c>
      <c r="N44" s="5">
        <v>7.99</v>
      </c>
      <c r="O44" s="5">
        <v>5.07</v>
      </c>
      <c r="P44" s="5">
        <v>3.26</v>
      </c>
      <c r="Q44" s="5">
        <v>10.49</v>
      </c>
      <c r="R44" s="5">
        <v>185</v>
      </c>
      <c r="W44" s="5">
        <v>59</v>
      </c>
      <c r="X44" s="5">
        <v>850</v>
      </c>
      <c r="Y44" s="5">
        <v>0</v>
      </c>
      <c r="Z44" s="5">
        <v>9</v>
      </c>
      <c r="AA44" s="5">
        <v>2.2999999999999998</v>
      </c>
      <c r="AB44" s="5">
        <v>35</v>
      </c>
      <c r="AC44" s="5">
        <v>1.6</v>
      </c>
      <c r="AD44" s="5">
        <v>58.96</v>
      </c>
      <c r="AE44" s="5">
        <v>90.59</v>
      </c>
      <c r="AH44" s="5">
        <v>1.33</v>
      </c>
      <c r="AI44" s="5">
        <v>578</v>
      </c>
      <c r="AJ44" s="5">
        <v>19.850000000000001</v>
      </c>
      <c r="AK44" s="5">
        <v>230</v>
      </c>
      <c r="AL44" s="5">
        <v>4.7</v>
      </c>
      <c r="AM44" s="5">
        <v>10547.68</v>
      </c>
      <c r="AN44" s="5">
        <v>3796.68</v>
      </c>
      <c r="AO44" s="5">
        <v>1.2030075187969924</v>
      </c>
      <c r="AP44" s="5">
        <v>11.59</v>
      </c>
      <c r="AQ44" s="5">
        <v>3.89</v>
      </c>
      <c r="AR44" s="5">
        <v>0.59</v>
      </c>
      <c r="AS44" s="5">
        <v>1.69</v>
      </c>
      <c r="AT44" s="5">
        <v>23.02</v>
      </c>
      <c r="AU44" s="5">
        <v>0</v>
      </c>
      <c r="AV44" s="5">
        <v>0</v>
      </c>
      <c r="AW44" s="5">
        <v>16.510000000000002</v>
      </c>
      <c r="AX44" s="5">
        <v>9.8000000000000007</v>
      </c>
      <c r="AY44" s="5">
        <v>7.0000000000000007E-2</v>
      </c>
      <c r="BB44" s="5">
        <v>26.32</v>
      </c>
    </row>
    <row r="45" spans="1:54" x14ac:dyDescent="0.3">
      <c r="A45" s="1" t="s">
        <v>14</v>
      </c>
      <c r="B45" s="1" t="s">
        <v>15</v>
      </c>
      <c r="C45" s="1" t="s">
        <v>16</v>
      </c>
      <c r="D45" s="5">
        <v>43.88</v>
      </c>
      <c r="E45" s="5">
        <v>128.94</v>
      </c>
      <c r="F45" s="1" t="s">
        <v>17</v>
      </c>
      <c r="G45" s="5" t="s">
        <v>71</v>
      </c>
      <c r="H45" s="5" t="s">
        <v>72</v>
      </c>
      <c r="I45" s="6">
        <v>1.036231755279005E-3</v>
      </c>
      <c r="J45" s="3" t="s">
        <v>445</v>
      </c>
      <c r="K45" s="5">
        <v>46.18</v>
      </c>
      <c r="L45" s="5">
        <v>0.18</v>
      </c>
      <c r="M45" s="5">
        <v>8.7799999999999994</v>
      </c>
      <c r="N45" s="5">
        <v>8.69</v>
      </c>
      <c r="O45" s="5">
        <v>4.92</v>
      </c>
      <c r="P45" s="5">
        <v>2.3199999999999998</v>
      </c>
      <c r="Q45" s="5">
        <v>11.88</v>
      </c>
      <c r="R45" s="5">
        <v>191</v>
      </c>
      <c r="W45" s="5">
        <v>41</v>
      </c>
      <c r="X45" s="5">
        <v>786</v>
      </c>
      <c r="Y45" s="5">
        <v>0</v>
      </c>
      <c r="Z45" s="5">
        <v>6.9</v>
      </c>
      <c r="AA45" s="5">
        <v>1.7</v>
      </c>
      <c r="AB45" s="5">
        <v>51</v>
      </c>
      <c r="AC45" s="5">
        <v>0.5</v>
      </c>
      <c r="AD45" s="5">
        <v>49.46</v>
      </c>
      <c r="AE45" s="5">
        <v>78.66</v>
      </c>
      <c r="AH45" s="5">
        <v>1.26</v>
      </c>
      <c r="AI45" s="5">
        <v>520</v>
      </c>
      <c r="AJ45" s="5">
        <v>18.420000000000002</v>
      </c>
      <c r="AK45" s="5">
        <v>184</v>
      </c>
      <c r="AL45" s="5">
        <v>3.5</v>
      </c>
      <c r="AM45" s="5">
        <v>10787.4</v>
      </c>
      <c r="AN45" s="5">
        <v>3927.6</v>
      </c>
      <c r="AO45" s="5">
        <v>0.3968253968253968</v>
      </c>
      <c r="AP45" s="5">
        <v>9.99</v>
      </c>
      <c r="AQ45" s="5">
        <v>7.39</v>
      </c>
      <c r="AR45" s="5">
        <v>1.03</v>
      </c>
      <c r="AS45" s="5">
        <v>0.8</v>
      </c>
      <c r="AT45" s="5">
        <v>25.02</v>
      </c>
      <c r="AU45" s="5">
        <v>0</v>
      </c>
      <c r="AV45" s="5">
        <v>0</v>
      </c>
      <c r="AW45" s="5">
        <v>10.199999999999999</v>
      </c>
      <c r="AX45" s="5">
        <v>10.51</v>
      </c>
      <c r="AY45" s="5">
        <v>0.03</v>
      </c>
      <c r="BB45" s="5">
        <v>40.479999999999997</v>
      </c>
    </row>
    <row r="46" spans="1:54" x14ac:dyDescent="0.3">
      <c r="A46" s="1" t="s">
        <v>14</v>
      </c>
      <c r="B46" s="1" t="s">
        <v>15</v>
      </c>
      <c r="C46" s="1" t="s">
        <v>16</v>
      </c>
      <c r="D46" s="5">
        <v>43.88</v>
      </c>
      <c r="E46" s="5">
        <v>128.94</v>
      </c>
      <c r="F46" s="1" t="s">
        <v>17</v>
      </c>
      <c r="G46" s="5" t="s">
        <v>73</v>
      </c>
      <c r="H46" s="5" t="s">
        <v>68</v>
      </c>
      <c r="I46" s="6">
        <v>1.265355735085905E-3</v>
      </c>
      <c r="J46" s="3" t="s">
        <v>445</v>
      </c>
      <c r="K46" s="5">
        <v>47.19</v>
      </c>
      <c r="L46" s="5">
        <v>0.19</v>
      </c>
      <c r="M46" s="5">
        <v>7.98</v>
      </c>
      <c r="N46" s="5">
        <v>8.69</v>
      </c>
      <c r="O46" s="5">
        <v>4.4800000000000004</v>
      </c>
      <c r="P46" s="5">
        <v>2.34</v>
      </c>
      <c r="Q46" s="5">
        <v>13.4</v>
      </c>
      <c r="R46" s="5">
        <v>149</v>
      </c>
      <c r="W46" s="5">
        <v>40</v>
      </c>
      <c r="X46" s="5">
        <v>674</v>
      </c>
      <c r="Y46" s="5">
        <v>0</v>
      </c>
      <c r="Z46" s="5">
        <v>8.3000000000000007</v>
      </c>
      <c r="AA46" s="5">
        <v>2</v>
      </c>
      <c r="AB46" s="5">
        <v>41</v>
      </c>
      <c r="AC46" s="5">
        <v>2.4</v>
      </c>
      <c r="AD46" s="5">
        <v>49.45</v>
      </c>
      <c r="AE46" s="5">
        <v>75.98</v>
      </c>
      <c r="AH46" s="5">
        <v>1.37</v>
      </c>
      <c r="AI46" s="5">
        <v>577</v>
      </c>
      <c r="AJ46" s="5">
        <v>18.93</v>
      </c>
      <c r="AK46" s="5">
        <v>188</v>
      </c>
      <c r="AL46" s="5">
        <v>4.0999999999999996</v>
      </c>
      <c r="AM46" s="5">
        <v>9948.3799999999992</v>
      </c>
      <c r="AN46" s="5">
        <v>2967.52</v>
      </c>
      <c r="AO46" s="5">
        <v>1.751824817518248</v>
      </c>
      <c r="AP46" s="5">
        <v>9.93</v>
      </c>
      <c r="AQ46" s="5">
        <v>4.9400000000000004</v>
      </c>
      <c r="AR46" s="5">
        <v>0.83</v>
      </c>
      <c r="AS46" s="5">
        <v>0.98</v>
      </c>
      <c r="AT46" s="5">
        <v>22.46</v>
      </c>
      <c r="AU46" s="5">
        <v>0</v>
      </c>
      <c r="AV46" s="5">
        <v>0</v>
      </c>
      <c r="AW46" s="5">
        <v>14.07</v>
      </c>
      <c r="AX46" s="5">
        <v>11.67</v>
      </c>
      <c r="AY46" s="5">
        <v>0.05</v>
      </c>
      <c r="BB46" s="5">
        <v>29.93</v>
      </c>
    </row>
    <row r="47" spans="1:54" x14ac:dyDescent="0.3">
      <c r="A47" s="1" t="s">
        <v>14</v>
      </c>
      <c r="B47" s="1" t="s">
        <v>15</v>
      </c>
      <c r="C47" s="1" t="s">
        <v>16</v>
      </c>
      <c r="D47" s="5">
        <v>43.88</v>
      </c>
      <c r="E47" s="5">
        <v>128.94</v>
      </c>
      <c r="F47" s="1" t="s">
        <v>17</v>
      </c>
      <c r="G47" s="5" t="s">
        <v>74</v>
      </c>
      <c r="H47" s="5" t="s">
        <v>72</v>
      </c>
      <c r="I47" s="6">
        <v>1.1909793101949621E-5</v>
      </c>
      <c r="J47" s="3" t="s">
        <v>445</v>
      </c>
      <c r="K47" s="5">
        <v>47.78</v>
      </c>
      <c r="L47" s="5">
        <v>0.18</v>
      </c>
      <c r="M47" s="5">
        <v>8.1</v>
      </c>
      <c r="N47" s="5">
        <v>8.57</v>
      </c>
      <c r="O47" s="5">
        <v>4.62</v>
      </c>
      <c r="P47" s="5">
        <v>2.37</v>
      </c>
      <c r="Q47" s="5">
        <v>12.79</v>
      </c>
      <c r="R47" s="5">
        <v>156</v>
      </c>
      <c r="W47" s="5">
        <v>44</v>
      </c>
      <c r="X47" s="5">
        <v>668</v>
      </c>
      <c r="Y47" s="5">
        <v>0</v>
      </c>
      <c r="Z47" s="5">
        <v>8.1</v>
      </c>
      <c r="AA47" s="5">
        <v>1.8</v>
      </c>
      <c r="AB47" s="5">
        <v>56</v>
      </c>
      <c r="AC47" s="5">
        <v>3.4</v>
      </c>
      <c r="AD47" s="5">
        <v>47.97</v>
      </c>
      <c r="AE47" s="5">
        <v>73.209999999999994</v>
      </c>
      <c r="AH47" s="5">
        <v>1.34</v>
      </c>
      <c r="AI47" s="5">
        <v>573</v>
      </c>
      <c r="AJ47" s="5">
        <v>18.559999999999999</v>
      </c>
      <c r="AK47" s="5">
        <v>190</v>
      </c>
      <c r="AL47" s="5">
        <v>4</v>
      </c>
      <c r="AM47" s="5">
        <v>10128.17</v>
      </c>
      <c r="AN47" s="5">
        <v>2836.6</v>
      </c>
      <c r="AO47" s="5">
        <v>2.5373134328358207</v>
      </c>
      <c r="AP47" s="5">
        <v>10.24</v>
      </c>
      <c r="AQ47" s="5">
        <v>6.91</v>
      </c>
      <c r="AR47" s="5">
        <v>1.17</v>
      </c>
      <c r="AS47" s="5">
        <v>0.79</v>
      </c>
      <c r="AT47" s="5">
        <v>22.5</v>
      </c>
      <c r="AU47" s="5">
        <v>0</v>
      </c>
      <c r="AV47" s="5">
        <v>0</v>
      </c>
      <c r="AW47" s="5">
        <v>10.23</v>
      </c>
      <c r="AX47" s="5">
        <v>11.94</v>
      </c>
      <c r="AY47" s="5">
        <v>0.03</v>
      </c>
      <c r="BB47" s="5">
        <v>41.79</v>
      </c>
    </row>
    <row r="48" spans="1:54" x14ac:dyDescent="0.3">
      <c r="A48" s="1" t="s">
        <v>14</v>
      </c>
      <c r="B48" s="1" t="s">
        <v>15</v>
      </c>
      <c r="C48" s="1" t="s">
        <v>16</v>
      </c>
      <c r="D48" s="5">
        <v>43.88</v>
      </c>
      <c r="E48" s="5">
        <v>128.94</v>
      </c>
      <c r="F48" s="1" t="s">
        <v>17</v>
      </c>
      <c r="G48" s="5" t="s">
        <v>75</v>
      </c>
      <c r="H48" s="5" t="s">
        <v>68</v>
      </c>
      <c r="I48" s="6">
        <v>1.11533583549317E-4</v>
      </c>
      <c r="J48" s="3" t="s">
        <v>445</v>
      </c>
      <c r="K48" s="5">
        <v>46.75</v>
      </c>
      <c r="L48" s="5">
        <v>0.18</v>
      </c>
      <c r="M48" s="5">
        <v>8.33</v>
      </c>
      <c r="N48" s="5">
        <v>8.5299999999999994</v>
      </c>
      <c r="O48" s="5">
        <v>4.72</v>
      </c>
      <c r="P48" s="5">
        <v>2.37</v>
      </c>
      <c r="Q48" s="5">
        <v>12.27</v>
      </c>
      <c r="R48" s="5">
        <v>150</v>
      </c>
      <c r="W48" s="5">
        <v>41</v>
      </c>
      <c r="X48" s="5">
        <v>706</v>
      </c>
      <c r="Y48" s="5">
        <v>0</v>
      </c>
      <c r="Z48" s="5">
        <v>6.9</v>
      </c>
      <c r="AA48" s="5">
        <v>1.8</v>
      </c>
      <c r="AB48" s="5">
        <v>43</v>
      </c>
      <c r="AC48" s="5">
        <v>1.5</v>
      </c>
      <c r="AD48" s="5">
        <v>50.03</v>
      </c>
      <c r="AE48" s="5">
        <v>78.95</v>
      </c>
      <c r="AH48" s="5">
        <v>1.31</v>
      </c>
      <c r="AI48" s="5">
        <v>481</v>
      </c>
      <c r="AJ48" s="5">
        <v>18.88</v>
      </c>
      <c r="AK48" s="5">
        <v>179</v>
      </c>
      <c r="AL48" s="5">
        <v>3.9</v>
      </c>
      <c r="AM48" s="5">
        <v>10607.61</v>
      </c>
      <c r="AN48" s="5">
        <v>3360.28</v>
      </c>
      <c r="AO48" s="5">
        <v>1.1450381679389312</v>
      </c>
      <c r="AP48" s="5">
        <v>9.48</v>
      </c>
      <c r="AQ48" s="5">
        <v>6.23</v>
      </c>
      <c r="AR48" s="5">
        <v>0.86</v>
      </c>
      <c r="AS48" s="5">
        <v>0.95</v>
      </c>
      <c r="AT48" s="5">
        <v>22.11</v>
      </c>
      <c r="AU48" s="5">
        <v>0</v>
      </c>
      <c r="AV48" s="5">
        <v>0</v>
      </c>
      <c r="AW48" s="5">
        <v>11.19</v>
      </c>
      <c r="AX48" s="5">
        <v>9.61</v>
      </c>
      <c r="AY48" s="5">
        <v>0.04</v>
      </c>
      <c r="BB48" s="5">
        <v>32.82</v>
      </c>
    </row>
    <row r="49" spans="1:54" x14ac:dyDescent="0.3">
      <c r="A49" s="1" t="s">
        <v>14</v>
      </c>
      <c r="B49" s="1" t="s">
        <v>15</v>
      </c>
      <c r="C49" s="1" t="s">
        <v>16</v>
      </c>
      <c r="D49" s="5">
        <v>43.88</v>
      </c>
      <c r="E49" s="5">
        <v>128.94</v>
      </c>
      <c r="F49" s="1" t="s">
        <v>17</v>
      </c>
      <c r="G49" s="5" t="s">
        <v>76</v>
      </c>
      <c r="H49" s="5" t="s">
        <v>77</v>
      </c>
      <c r="I49" s="6">
        <v>3.8219815905904397E-5</v>
      </c>
      <c r="J49" s="3" t="s">
        <v>445</v>
      </c>
      <c r="K49" s="5">
        <v>47.94</v>
      </c>
      <c r="L49" s="5">
        <v>0.17</v>
      </c>
      <c r="M49" s="5">
        <v>4.2</v>
      </c>
      <c r="N49" s="5">
        <v>5.66</v>
      </c>
      <c r="O49" s="5">
        <v>6.36</v>
      </c>
      <c r="P49" s="5">
        <v>4.92</v>
      </c>
      <c r="Q49" s="5">
        <v>4.0199999999999996</v>
      </c>
      <c r="R49" s="5">
        <v>152</v>
      </c>
      <c r="W49" s="5">
        <v>83</v>
      </c>
      <c r="X49" s="5">
        <v>951</v>
      </c>
      <c r="Y49" s="5">
        <v>0</v>
      </c>
      <c r="Z49" s="5">
        <v>12.2</v>
      </c>
      <c r="AA49" s="5">
        <v>3.2</v>
      </c>
      <c r="AB49" s="5">
        <v>99</v>
      </c>
      <c r="AC49" s="5">
        <v>5.0999999999999996</v>
      </c>
      <c r="AD49" s="5">
        <v>65.41</v>
      </c>
      <c r="AE49" s="5">
        <v>102.5</v>
      </c>
      <c r="AH49" s="5">
        <v>0.77</v>
      </c>
      <c r="AI49" s="5">
        <v>612</v>
      </c>
      <c r="AJ49" s="5">
        <v>14.91</v>
      </c>
      <c r="AK49" s="5">
        <v>345</v>
      </c>
      <c r="AL49" s="5">
        <v>7.3</v>
      </c>
      <c r="AM49" s="5">
        <v>11087.05</v>
      </c>
      <c r="AN49" s="5">
        <v>4538.5600000000004</v>
      </c>
      <c r="AO49" s="5">
        <v>6.6233766233766227</v>
      </c>
      <c r="AP49" s="5">
        <v>23.14</v>
      </c>
      <c r="AQ49" s="5">
        <v>8.11</v>
      </c>
      <c r="AR49" s="5">
        <v>1.51</v>
      </c>
      <c r="AS49" s="5">
        <v>0.84</v>
      </c>
      <c r="AT49" s="5">
        <v>22.97</v>
      </c>
      <c r="AU49" s="5">
        <v>0</v>
      </c>
      <c r="AV49" s="5">
        <v>0</v>
      </c>
      <c r="AW49" s="5">
        <v>6.18</v>
      </c>
      <c r="AX49" s="5">
        <v>9.36</v>
      </c>
      <c r="AY49" s="5">
        <v>0.03</v>
      </c>
      <c r="BB49" s="5">
        <v>128.57</v>
      </c>
    </row>
    <row r="50" spans="1:54" x14ac:dyDescent="0.3">
      <c r="A50" s="1" t="s">
        <v>14</v>
      </c>
      <c r="B50" s="1" t="s">
        <v>15</v>
      </c>
      <c r="C50" s="1" t="s">
        <v>16</v>
      </c>
      <c r="D50" s="5">
        <v>43.88</v>
      </c>
      <c r="E50" s="5">
        <v>128.94</v>
      </c>
      <c r="F50" s="1" t="s">
        <v>17</v>
      </c>
      <c r="G50" s="5" t="s">
        <v>78</v>
      </c>
      <c r="H50" s="5" t="s">
        <v>77</v>
      </c>
      <c r="I50" s="6">
        <v>4.0843486203812063E-5</v>
      </c>
      <c r="J50" s="3" t="s">
        <v>445</v>
      </c>
      <c r="K50" s="5">
        <v>47.8</v>
      </c>
      <c r="L50" s="5">
        <v>0.16</v>
      </c>
      <c r="M50" s="5">
        <v>4.51</v>
      </c>
      <c r="N50" s="5">
        <v>5.85</v>
      </c>
      <c r="O50" s="5">
        <v>6.22</v>
      </c>
      <c r="P50" s="5">
        <v>4.79</v>
      </c>
      <c r="Q50" s="5">
        <v>5.53</v>
      </c>
      <c r="R50" s="5">
        <v>91</v>
      </c>
      <c r="W50" s="5">
        <v>78</v>
      </c>
      <c r="X50" s="5">
        <v>966</v>
      </c>
      <c r="Y50" s="5">
        <v>0</v>
      </c>
      <c r="Z50" s="5">
        <v>12</v>
      </c>
      <c r="AA50" s="5">
        <v>3.2</v>
      </c>
      <c r="AB50" s="5">
        <v>89</v>
      </c>
      <c r="AC50" s="5">
        <v>3.2</v>
      </c>
      <c r="AD50" s="5">
        <v>66.099999999999994</v>
      </c>
      <c r="AE50" s="5">
        <v>104.5</v>
      </c>
      <c r="AH50" s="5">
        <v>0.84</v>
      </c>
      <c r="AI50" s="5">
        <v>605</v>
      </c>
      <c r="AJ50" s="5">
        <v>16.53</v>
      </c>
      <c r="AK50" s="5">
        <v>348</v>
      </c>
      <c r="AL50" s="5">
        <v>7.4</v>
      </c>
      <c r="AM50" s="5">
        <v>11386.7</v>
      </c>
      <c r="AN50" s="5">
        <v>4625.84</v>
      </c>
      <c r="AO50" s="5">
        <v>3.8095238095238098</v>
      </c>
      <c r="AP50" s="5">
        <v>21.05</v>
      </c>
      <c r="AQ50" s="5">
        <v>7.42</v>
      </c>
      <c r="AR50" s="5">
        <v>1.35</v>
      </c>
      <c r="AS50" s="5">
        <v>0.88</v>
      </c>
      <c r="AT50" s="5">
        <v>23.06</v>
      </c>
      <c r="AU50" s="5">
        <v>0</v>
      </c>
      <c r="AV50" s="5">
        <v>0</v>
      </c>
      <c r="AW50" s="5">
        <v>6.8</v>
      </c>
      <c r="AX50" s="5">
        <v>9.15</v>
      </c>
      <c r="AY50" s="5">
        <v>0.04</v>
      </c>
      <c r="BB50" s="5">
        <v>105.95</v>
      </c>
    </row>
    <row r="51" spans="1:54" x14ac:dyDescent="0.3">
      <c r="A51" s="1" t="s">
        <v>14</v>
      </c>
      <c r="B51" s="1" t="s">
        <v>15</v>
      </c>
      <c r="C51" s="1" t="s">
        <v>16</v>
      </c>
      <c r="D51" s="5">
        <v>43.88</v>
      </c>
      <c r="E51" s="5">
        <v>128.94</v>
      </c>
      <c r="F51" s="1" t="s">
        <v>17</v>
      </c>
      <c r="G51" s="5" t="s">
        <v>79</v>
      </c>
      <c r="H51" s="5" t="s">
        <v>77</v>
      </c>
      <c r="I51" s="6">
        <v>2.3498438167735E-5</v>
      </c>
      <c r="J51" s="3" t="s">
        <v>445</v>
      </c>
      <c r="K51" s="5">
        <v>47.4</v>
      </c>
      <c r="L51" s="5">
        <v>0.16</v>
      </c>
      <c r="M51" s="5">
        <v>4.59</v>
      </c>
      <c r="N51" s="5">
        <v>5.85</v>
      </c>
      <c r="O51" s="5">
        <v>6.27</v>
      </c>
      <c r="P51" s="5">
        <v>4.74</v>
      </c>
      <c r="Q51" s="5">
        <v>5.47</v>
      </c>
      <c r="R51" s="5">
        <v>94</v>
      </c>
      <c r="W51" s="5">
        <v>74</v>
      </c>
      <c r="X51" s="5">
        <v>957</v>
      </c>
      <c r="Y51" s="5">
        <v>0</v>
      </c>
      <c r="Z51" s="5">
        <v>12</v>
      </c>
      <c r="AA51" s="5">
        <v>3.1</v>
      </c>
      <c r="AB51" s="5">
        <v>95</v>
      </c>
      <c r="AC51" s="5">
        <v>4.3</v>
      </c>
      <c r="AD51" s="5">
        <v>67.099999999999994</v>
      </c>
      <c r="AE51" s="5">
        <v>105.7</v>
      </c>
      <c r="AH51" s="5">
        <v>0.88</v>
      </c>
      <c r="AI51" s="5">
        <v>635</v>
      </c>
      <c r="AJ51" s="5">
        <v>16.88</v>
      </c>
      <c r="AK51" s="5">
        <v>349</v>
      </c>
      <c r="AL51" s="5">
        <v>7.8</v>
      </c>
      <c r="AM51" s="5">
        <v>11626.42</v>
      </c>
      <c r="AN51" s="5">
        <v>4451.28</v>
      </c>
      <c r="AO51" s="5">
        <v>4.8863636363636358</v>
      </c>
      <c r="AP51" s="5">
        <v>20.68</v>
      </c>
      <c r="AQ51" s="5">
        <v>7.92</v>
      </c>
      <c r="AR51" s="5">
        <v>1.42</v>
      </c>
      <c r="AS51" s="5">
        <v>0.78</v>
      </c>
      <c r="AT51" s="5">
        <v>22.42</v>
      </c>
      <c r="AU51" s="5">
        <v>0</v>
      </c>
      <c r="AV51" s="5">
        <v>0</v>
      </c>
      <c r="AW51" s="5">
        <v>6.68</v>
      </c>
      <c r="AX51" s="5">
        <v>9.4600000000000009</v>
      </c>
      <c r="AY51" s="5">
        <v>0.03</v>
      </c>
      <c r="BB51" s="5">
        <v>107.95</v>
      </c>
    </row>
    <row r="52" spans="1:54" x14ac:dyDescent="0.3">
      <c r="A52" s="1" t="s">
        <v>14</v>
      </c>
      <c r="B52" s="1" t="s">
        <v>15</v>
      </c>
      <c r="C52" s="1" t="s">
        <v>16</v>
      </c>
      <c r="D52" s="5">
        <v>43.88</v>
      </c>
      <c r="E52" s="5">
        <v>128.94</v>
      </c>
      <c r="F52" s="1" t="s">
        <v>17</v>
      </c>
      <c r="G52" s="5" t="s">
        <v>80</v>
      </c>
      <c r="H52" s="5" t="s">
        <v>72</v>
      </c>
      <c r="I52" s="6">
        <v>1.130466716858791E-5</v>
      </c>
      <c r="J52" s="3" t="s">
        <v>445</v>
      </c>
      <c r="K52" s="5">
        <v>47.52</v>
      </c>
      <c r="L52" s="5">
        <v>0.19</v>
      </c>
      <c r="M52" s="5">
        <v>8.56</v>
      </c>
      <c r="N52" s="5">
        <v>8.64</v>
      </c>
      <c r="O52" s="5">
        <v>4.28</v>
      </c>
      <c r="P52" s="5">
        <v>2.25</v>
      </c>
      <c r="Q52" s="5">
        <v>7.29</v>
      </c>
      <c r="R52" s="5">
        <v>156</v>
      </c>
      <c r="W52" s="5">
        <v>37</v>
      </c>
      <c r="X52" s="5">
        <v>679</v>
      </c>
      <c r="Y52" s="5">
        <v>0</v>
      </c>
      <c r="Z52" s="5">
        <v>8.1</v>
      </c>
      <c r="AA52" s="5">
        <v>1.8</v>
      </c>
      <c r="AB52" s="5">
        <v>59</v>
      </c>
      <c r="AC52" s="5">
        <v>4</v>
      </c>
      <c r="AD52" s="5">
        <v>35.86</v>
      </c>
      <c r="AE52" s="5">
        <v>53.86</v>
      </c>
      <c r="AH52" s="5">
        <v>0.78</v>
      </c>
      <c r="AI52" s="5">
        <v>588</v>
      </c>
      <c r="AJ52" s="5">
        <v>17.510000000000002</v>
      </c>
      <c r="AK52" s="5">
        <v>189</v>
      </c>
      <c r="AL52" s="5">
        <v>4</v>
      </c>
      <c r="AM52" s="5">
        <v>10307.959999999999</v>
      </c>
      <c r="AN52" s="5">
        <v>2967.52</v>
      </c>
      <c r="AO52" s="5">
        <v>5.1282051282051277</v>
      </c>
      <c r="AP52" s="5">
        <v>10.79</v>
      </c>
      <c r="AQ52" s="5">
        <v>7.28</v>
      </c>
      <c r="AR52" s="5">
        <v>1.65</v>
      </c>
      <c r="AS52" s="5">
        <v>0.63</v>
      </c>
      <c r="AT52" s="5">
        <v>31.32</v>
      </c>
      <c r="AU52" s="5">
        <v>0</v>
      </c>
      <c r="AV52" s="5">
        <v>0</v>
      </c>
      <c r="AW52" s="5">
        <v>9.9700000000000006</v>
      </c>
      <c r="AX52" s="5">
        <v>16.399999999999999</v>
      </c>
      <c r="AY52" s="5">
        <v>0.03</v>
      </c>
      <c r="BB52" s="5">
        <v>75.64</v>
      </c>
    </row>
    <row r="53" spans="1:54" x14ac:dyDescent="0.3">
      <c r="A53" s="1" t="s">
        <v>14</v>
      </c>
      <c r="B53" s="1" t="s">
        <v>15</v>
      </c>
      <c r="C53" s="1" t="s">
        <v>16</v>
      </c>
      <c r="D53" s="5">
        <v>43.88</v>
      </c>
      <c r="E53" s="5">
        <v>128.94</v>
      </c>
      <c r="F53" s="1" t="s">
        <v>17</v>
      </c>
      <c r="G53" s="5" t="s">
        <v>81</v>
      </c>
      <c r="H53" s="5" t="s">
        <v>72</v>
      </c>
      <c r="I53" s="6">
        <v>1.480824357713573E-5</v>
      </c>
      <c r="J53" s="3" t="s">
        <v>445</v>
      </c>
      <c r="K53" s="5">
        <v>47.7</v>
      </c>
      <c r="L53" s="5">
        <v>0.18</v>
      </c>
      <c r="M53" s="5">
        <v>8.67</v>
      </c>
      <c r="N53" s="5">
        <v>8.57</v>
      </c>
      <c r="O53" s="5">
        <v>4.25</v>
      </c>
      <c r="P53" s="5">
        <v>2.19</v>
      </c>
      <c r="Q53" s="5">
        <v>12.81</v>
      </c>
      <c r="R53" s="5">
        <v>161</v>
      </c>
      <c r="W53" s="5">
        <v>39</v>
      </c>
      <c r="X53" s="5">
        <v>662</v>
      </c>
      <c r="Y53" s="5">
        <v>0</v>
      </c>
      <c r="Z53" s="5">
        <v>8.1999999999999993</v>
      </c>
      <c r="AA53" s="5">
        <v>1.9</v>
      </c>
      <c r="AB53" s="5">
        <v>59</v>
      </c>
      <c r="AC53" s="5">
        <v>3.7</v>
      </c>
      <c r="AD53" s="5">
        <v>42.8</v>
      </c>
      <c r="AE53" s="5">
        <v>66.099999999999994</v>
      </c>
      <c r="AH53" s="5">
        <v>1.27</v>
      </c>
      <c r="AI53" s="5">
        <v>586</v>
      </c>
      <c r="AJ53" s="5">
        <v>17.41</v>
      </c>
      <c r="AK53" s="5">
        <v>188</v>
      </c>
      <c r="AL53" s="5">
        <v>4.3</v>
      </c>
      <c r="AM53" s="5">
        <v>10188.1</v>
      </c>
      <c r="AN53" s="5">
        <v>2749.32</v>
      </c>
      <c r="AO53" s="5">
        <v>2.9133858267716537</v>
      </c>
      <c r="AP53" s="5">
        <v>10.8</v>
      </c>
      <c r="AQ53" s="5">
        <v>7.2</v>
      </c>
      <c r="AR53" s="5">
        <v>1.38</v>
      </c>
      <c r="AS53" s="5">
        <v>0.66</v>
      </c>
      <c r="AT53" s="5">
        <v>24.7</v>
      </c>
      <c r="AU53" s="5">
        <v>0</v>
      </c>
      <c r="AV53" s="5">
        <v>0</v>
      </c>
      <c r="AW53" s="5">
        <v>9.93</v>
      </c>
      <c r="AX53" s="5">
        <v>13.69</v>
      </c>
      <c r="AY53" s="5">
        <v>0.03</v>
      </c>
      <c r="BB53" s="5">
        <v>46.46</v>
      </c>
    </row>
    <row r="54" spans="1:54" x14ac:dyDescent="0.3">
      <c r="A54" s="1" t="s">
        <v>14</v>
      </c>
      <c r="B54" s="1" t="s">
        <v>15</v>
      </c>
      <c r="C54" s="1" t="s">
        <v>16</v>
      </c>
      <c r="D54" s="5">
        <v>43.88</v>
      </c>
      <c r="E54" s="5">
        <v>128.94</v>
      </c>
      <c r="F54" s="1" t="s">
        <v>17</v>
      </c>
      <c r="G54" s="5" t="s">
        <v>82</v>
      </c>
      <c r="H54" s="5" t="s">
        <v>72</v>
      </c>
      <c r="I54" s="6">
        <v>1.1089358849858399E-5</v>
      </c>
      <c r="J54" s="3" t="s">
        <v>445</v>
      </c>
      <c r="K54" s="5">
        <v>47.92</v>
      </c>
      <c r="L54" s="5">
        <v>0.18</v>
      </c>
      <c r="M54" s="5">
        <v>8.2799999999999994</v>
      </c>
      <c r="N54" s="5">
        <v>8.4600000000000009</v>
      </c>
      <c r="O54" s="5">
        <v>4.2699999999999996</v>
      </c>
      <c r="P54" s="5">
        <v>2.1800000000000002</v>
      </c>
      <c r="Q54" s="5">
        <v>14.33</v>
      </c>
      <c r="R54" s="5">
        <v>159</v>
      </c>
      <c r="W54" s="5">
        <v>41</v>
      </c>
      <c r="X54" s="5">
        <v>625</v>
      </c>
      <c r="Y54" s="5">
        <v>0</v>
      </c>
      <c r="Z54" s="5">
        <v>7.5</v>
      </c>
      <c r="AA54" s="5">
        <v>1.7</v>
      </c>
      <c r="AB54" s="5">
        <v>54</v>
      </c>
      <c r="AC54" s="5">
        <v>3.5</v>
      </c>
      <c r="AD54" s="5">
        <v>42.3</v>
      </c>
      <c r="AE54" s="5">
        <v>65.709999999999994</v>
      </c>
      <c r="AH54" s="5">
        <v>1.37</v>
      </c>
      <c r="AI54" s="5">
        <v>543</v>
      </c>
      <c r="AJ54" s="5">
        <v>18.38</v>
      </c>
      <c r="AK54" s="5">
        <v>180</v>
      </c>
      <c r="AL54" s="5">
        <v>4.2</v>
      </c>
      <c r="AM54" s="5">
        <v>10068.24</v>
      </c>
      <c r="AN54" s="5">
        <v>2618.4</v>
      </c>
      <c r="AO54" s="5">
        <v>2.554744525547445</v>
      </c>
      <c r="AP54" s="5">
        <v>9.7899999999999991</v>
      </c>
      <c r="AQ54" s="5">
        <v>7.2</v>
      </c>
      <c r="AR54" s="5">
        <v>1.28</v>
      </c>
      <c r="AS54" s="5">
        <v>0.76</v>
      </c>
      <c r="AT54" s="5">
        <v>23.41</v>
      </c>
      <c r="AU54" s="5">
        <v>0</v>
      </c>
      <c r="AV54" s="5">
        <v>0</v>
      </c>
      <c r="AW54" s="5">
        <v>10.06</v>
      </c>
      <c r="AX54" s="5">
        <v>12.84</v>
      </c>
      <c r="AY54" s="5">
        <v>0.03</v>
      </c>
      <c r="BB54" s="5">
        <v>39.42</v>
      </c>
    </row>
    <row r="55" spans="1:54" x14ac:dyDescent="0.3">
      <c r="A55" s="1" t="s">
        <v>14</v>
      </c>
      <c r="B55" s="1" t="s">
        <v>15</v>
      </c>
      <c r="C55" s="1" t="s">
        <v>16</v>
      </c>
      <c r="D55" s="5">
        <v>43.88</v>
      </c>
      <c r="E55" s="5">
        <v>128.94</v>
      </c>
      <c r="F55" s="1" t="s">
        <v>17</v>
      </c>
      <c r="G55" s="5" t="s">
        <v>83</v>
      </c>
      <c r="H55" s="5" t="s">
        <v>72</v>
      </c>
      <c r="I55" s="6">
        <v>1.775117380020674E-5</v>
      </c>
      <c r="J55" s="3" t="s">
        <v>445</v>
      </c>
      <c r="K55" s="5">
        <v>45.58</v>
      </c>
      <c r="L55" s="5">
        <v>0.18</v>
      </c>
      <c r="M55" s="5">
        <v>8.5399999999999991</v>
      </c>
      <c r="N55" s="5">
        <v>7.93</v>
      </c>
      <c r="O55" s="5">
        <v>5.09</v>
      </c>
      <c r="P55" s="5">
        <v>3.47</v>
      </c>
      <c r="Q55" s="5">
        <v>11.41</v>
      </c>
      <c r="R55" s="5">
        <v>153</v>
      </c>
      <c r="W55" s="5">
        <v>62</v>
      </c>
      <c r="X55" s="5">
        <v>823</v>
      </c>
      <c r="Y55" s="5">
        <v>0</v>
      </c>
      <c r="Z55" s="5">
        <v>9.3000000000000007</v>
      </c>
      <c r="AA55" s="5">
        <v>2.4</v>
      </c>
      <c r="AB55" s="5">
        <v>71</v>
      </c>
      <c r="AC55" s="5">
        <v>4</v>
      </c>
      <c r="AD55" s="5">
        <v>65.44</v>
      </c>
      <c r="AE55" s="5">
        <v>101.2</v>
      </c>
      <c r="AH55" s="5">
        <v>1.25</v>
      </c>
      <c r="AI55" s="5">
        <v>628</v>
      </c>
      <c r="AJ55" s="5">
        <v>19.649999999999999</v>
      </c>
      <c r="AK55" s="5">
        <v>239</v>
      </c>
      <c r="AL55" s="5">
        <v>5.5</v>
      </c>
      <c r="AM55" s="5">
        <v>11266.84</v>
      </c>
      <c r="AN55" s="5">
        <v>3971.24</v>
      </c>
      <c r="AO55" s="5">
        <v>3.2</v>
      </c>
      <c r="AP55" s="5">
        <v>12.16</v>
      </c>
      <c r="AQ55" s="5">
        <v>7.63</v>
      </c>
      <c r="AR55" s="5">
        <v>1.08</v>
      </c>
      <c r="AS55" s="5">
        <v>0.87</v>
      </c>
      <c r="AT55" s="5">
        <v>20.87</v>
      </c>
      <c r="AU55" s="5">
        <v>0</v>
      </c>
      <c r="AV55" s="5">
        <v>0</v>
      </c>
      <c r="AW55" s="5">
        <v>8.85</v>
      </c>
      <c r="AX55" s="5">
        <v>9.6</v>
      </c>
      <c r="AY55" s="5">
        <v>0.03</v>
      </c>
      <c r="BB55" s="5">
        <v>56.8</v>
      </c>
    </row>
    <row r="56" spans="1:54" x14ac:dyDescent="0.3">
      <c r="A56" s="1" t="s">
        <v>14</v>
      </c>
      <c r="B56" s="1" t="s">
        <v>15</v>
      </c>
      <c r="C56" s="1" t="s">
        <v>16</v>
      </c>
      <c r="D56" s="5">
        <v>42</v>
      </c>
      <c r="E56" s="5">
        <v>128</v>
      </c>
      <c r="F56" s="1" t="s">
        <v>17</v>
      </c>
      <c r="G56" s="5" t="s">
        <v>84</v>
      </c>
      <c r="H56" s="5" t="s">
        <v>85</v>
      </c>
      <c r="I56" s="6">
        <v>2.6431092992424961E-3</v>
      </c>
      <c r="J56" s="3" t="s">
        <v>445</v>
      </c>
      <c r="K56" s="5">
        <v>50.92</v>
      </c>
      <c r="L56" s="5">
        <v>0.13</v>
      </c>
      <c r="M56" s="5">
        <v>4.58</v>
      </c>
      <c r="N56" s="5">
        <v>8.1300000000000008</v>
      </c>
      <c r="O56" s="5">
        <v>3.87</v>
      </c>
      <c r="P56" s="5">
        <v>2.2200000000000002</v>
      </c>
      <c r="Q56" s="5">
        <v>19.899999999999999</v>
      </c>
      <c r="W56" s="5">
        <v>39</v>
      </c>
      <c r="X56" s="5">
        <v>823</v>
      </c>
      <c r="Y56" s="5">
        <v>5</v>
      </c>
      <c r="Z56" s="5">
        <v>4.5999999999999996</v>
      </c>
      <c r="AA56" s="5">
        <v>1</v>
      </c>
      <c r="AB56" s="5">
        <v>38.299999999999997</v>
      </c>
      <c r="AC56" s="5">
        <v>3</v>
      </c>
      <c r="AD56" s="5">
        <v>37.6</v>
      </c>
      <c r="AE56" s="5">
        <v>76.099999999999994</v>
      </c>
      <c r="AH56" s="5">
        <v>1.6</v>
      </c>
      <c r="AI56" s="5">
        <v>676</v>
      </c>
      <c r="AJ56" s="5">
        <v>24.4</v>
      </c>
      <c r="AK56" s="5">
        <v>260</v>
      </c>
      <c r="AL56" s="5">
        <v>6</v>
      </c>
      <c r="AM56" s="5">
        <v>18458.439999999999</v>
      </c>
      <c r="AN56" s="5">
        <v>2705.68</v>
      </c>
      <c r="AO56" s="5">
        <v>1.875</v>
      </c>
      <c r="AP56" s="5">
        <v>10.66</v>
      </c>
      <c r="AQ56" s="5">
        <v>8.33</v>
      </c>
      <c r="AR56" s="5">
        <v>1.02</v>
      </c>
      <c r="AS56" s="5">
        <v>1.02</v>
      </c>
      <c r="AT56" s="5">
        <v>21.54</v>
      </c>
      <c r="AU56" s="5">
        <v>0.13</v>
      </c>
      <c r="AV56" s="5">
        <v>0.13</v>
      </c>
      <c r="AW56" s="5">
        <v>17.649999999999999</v>
      </c>
      <c r="AX56" s="5">
        <v>17.98</v>
      </c>
      <c r="AY56" s="5">
        <v>0.03</v>
      </c>
      <c r="BB56" s="5">
        <v>23.94</v>
      </c>
    </row>
    <row r="57" spans="1:54" x14ac:dyDescent="0.3">
      <c r="A57" s="1" t="s">
        <v>14</v>
      </c>
      <c r="B57" s="1" t="s">
        <v>15</v>
      </c>
      <c r="C57" s="1" t="s">
        <v>16</v>
      </c>
      <c r="D57" s="5">
        <v>42.084899999999998</v>
      </c>
      <c r="E57" s="5">
        <v>128.9667</v>
      </c>
      <c r="F57" s="1" t="s">
        <v>17</v>
      </c>
      <c r="G57" s="5" t="s">
        <v>86</v>
      </c>
      <c r="H57" s="5" t="s">
        <v>87</v>
      </c>
      <c r="I57" s="6">
        <v>1.8262759549543259E-3</v>
      </c>
      <c r="J57" s="3" t="s">
        <v>445</v>
      </c>
      <c r="K57" s="5">
        <v>51.081183358032597</v>
      </c>
      <c r="L57" s="5">
        <v>0.13946765730764599</v>
      </c>
      <c r="M57" s="5">
        <v>5.75830852725597</v>
      </c>
      <c r="N57" s="5">
        <v>7.9733358673448897</v>
      </c>
      <c r="O57" s="5">
        <v>3.63318264108623</v>
      </c>
      <c r="P57" s="5">
        <v>1.4107304041334601</v>
      </c>
      <c r="Q57" s="5">
        <v>0</v>
      </c>
      <c r="R57" s="5">
        <v>165</v>
      </c>
      <c r="W57" s="5">
        <v>22</v>
      </c>
      <c r="X57" s="5">
        <v>522</v>
      </c>
      <c r="Y57" s="5">
        <v>2.76</v>
      </c>
      <c r="Z57" s="5">
        <v>1.8</v>
      </c>
      <c r="AA57" s="5">
        <v>0.4</v>
      </c>
      <c r="AB57" s="5">
        <v>20</v>
      </c>
      <c r="AC57" s="5">
        <v>1.2</v>
      </c>
      <c r="AD57" s="5">
        <v>21.4</v>
      </c>
      <c r="AE57" s="5">
        <v>43</v>
      </c>
      <c r="AH57" s="5">
        <v>1.5</v>
      </c>
      <c r="AI57" s="5">
        <v>527</v>
      </c>
      <c r="AJ57" s="5">
        <v>20</v>
      </c>
      <c r="AK57" s="5">
        <v>135</v>
      </c>
      <c r="AL57" s="5">
        <v>3.1</v>
      </c>
      <c r="AM57" s="5">
        <v>15556.05</v>
      </c>
      <c r="AN57" s="5">
        <v>2381.5700000000002</v>
      </c>
      <c r="AO57" s="5">
        <v>0.79999999999999993</v>
      </c>
      <c r="AP57" s="5">
        <v>6.75</v>
      </c>
      <c r="AQ57" s="5">
        <v>11.11</v>
      </c>
      <c r="AR57" s="5">
        <v>0.93</v>
      </c>
      <c r="AS57" s="5">
        <v>1.1000000000000001</v>
      </c>
      <c r="AT57" s="5">
        <v>20.8</v>
      </c>
      <c r="AU57" s="5">
        <v>0.14000000000000001</v>
      </c>
      <c r="AV57" s="5">
        <v>0.11</v>
      </c>
      <c r="AW57" s="5">
        <v>26.35</v>
      </c>
      <c r="AX57" s="5">
        <v>24.63</v>
      </c>
      <c r="AY57" s="5">
        <v>0.02</v>
      </c>
      <c r="BB57" s="5">
        <v>13.33</v>
      </c>
    </row>
    <row r="58" spans="1:54" x14ac:dyDescent="0.3">
      <c r="A58" s="1" t="s">
        <v>14</v>
      </c>
      <c r="B58" s="1" t="s">
        <v>15</v>
      </c>
      <c r="C58" s="1" t="s">
        <v>16</v>
      </c>
      <c r="D58" s="5">
        <v>42.119300000000003</v>
      </c>
      <c r="E58" s="5">
        <v>129.03550000000001</v>
      </c>
      <c r="F58" s="1" t="s">
        <v>17</v>
      </c>
      <c r="G58" s="5" t="s">
        <v>88</v>
      </c>
      <c r="H58" s="5" t="s">
        <v>87</v>
      </c>
      <c r="I58" s="6">
        <v>1.006170990876853E-3</v>
      </c>
      <c r="J58" s="3" t="s">
        <v>445</v>
      </c>
      <c r="K58" s="5">
        <v>51.467486798891102</v>
      </c>
      <c r="L58" s="5">
        <v>0.13927818800806499</v>
      </c>
      <c r="M58" s="5">
        <v>5.8932457973225798</v>
      </c>
      <c r="N58" s="5">
        <v>7.8505339630887097</v>
      </c>
      <c r="O58" s="5">
        <v>3.6739867499516099</v>
      </c>
      <c r="P58" s="5">
        <v>1.41136562683065</v>
      </c>
      <c r="Q58" s="5">
        <v>0</v>
      </c>
      <c r="R58" s="5">
        <v>166</v>
      </c>
      <c r="W58" s="5">
        <v>22</v>
      </c>
      <c r="X58" s="5">
        <v>504</v>
      </c>
      <c r="Y58" s="5">
        <v>2.66</v>
      </c>
      <c r="Z58" s="5">
        <v>1.8</v>
      </c>
      <c r="AA58" s="5">
        <v>0.4</v>
      </c>
      <c r="AB58" s="5">
        <v>20</v>
      </c>
      <c r="AC58" s="5">
        <v>1.2</v>
      </c>
      <c r="AD58" s="5">
        <v>21.1</v>
      </c>
      <c r="AE58" s="5">
        <v>43.1</v>
      </c>
      <c r="AH58" s="5">
        <v>1.5</v>
      </c>
      <c r="AI58" s="5">
        <v>523</v>
      </c>
      <c r="AJ58" s="5">
        <v>20</v>
      </c>
      <c r="AK58" s="5">
        <v>135</v>
      </c>
      <c r="AL58" s="5">
        <v>3.3</v>
      </c>
      <c r="AM58" s="5">
        <v>15364.6</v>
      </c>
      <c r="AN58" s="5">
        <v>2392</v>
      </c>
      <c r="AO58" s="5">
        <v>0.79999999999999993</v>
      </c>
      <c r="AP58" s="5">
        <v>6.75</v>
      </c>
      <c r="AQ58" s="5">
        <v>11.11</v>
      </c>
      <c r="AR58" s="5">
        <v>0.95</v>
      </c>
      <c r="AS58" s="5">
        <v>1.1000000000000001</v>
      </c>
      <c r="AT58" s="5">
        <v>20.079999999999998</v>
      </c>
      <c r="AU58" s="5">
        <v>0.13</v>
      </c>
      <c r="AV58" s="5">
        <v>0.11</v>
      </c>
      <c r="AW58" s="5">
        <v>26.15</v>
      </c>
      <c r="AX58" s="5">
        <v>24.79</v>
      </c>
      <c r="AY58" s="5">
        <v>0.02</v>
      </c>
      <c r="BB58" s="5">
        <v>13.33</v>
      </c>
    </row>
    <row r="59" spans="1:54" x14ac:dyDescent="0.3">
      <c r="A59" s="1" t="s">
        <v>14</v>
      </c>
      <c r="B59" s="1" t="s">
        <v>15</v>
      </c>
      <c r="C59" s="1" t="s">
        <v>16</v>
      </c>
      <c r="D59" s="5">
        <v>42.200200000000002</v>
      </c>
      <c r="E59" s="5">
        <v>129.18450000000001</v>
      </c>
      <c r="F59" s="1" t="s">
        <v>17</v>
      </c>
      <c r="G59" s="5" t="s">
        <v>89</v>
      </c>
      <c r="H59" s="5" t="s">
        <v>90</v>
      </c>
      <c r="I59" s="6">
        <v>2.3465692065656189E-3</v>
      </c>
      <c r="J59" s="3" t="s">
        <v>445</v>
      </c>
      <c r="K59" s="5">
        <v>51.534447928710499</v>
      </c>
      <c r="L59" s="5">
        <v>0.142761063949261</v>
      </c>
      <c r="M59" s="5">
        <v>6.0787261697947796</v>
      </c>
      <c r="N59" s="5">
        <v>7.7630072256605001</v>
      </c>
      <c r="O59" s="5">
        <v>3.5071301933828898</v>
      </c>
      <c r="P59" s="5">
        <v>1.3928687861678899</v>
      </c>
      <c r="Q59" s="5">
        <v>0</v>
      </c>
      <c r="R59" s="5">
        <v>173</v>
      </c>
      <c r="W59" s="5">
        <v>22</v>
      </c>
      <c r="X59" s="5">
        <v>462</v>
      </c>
      <c r="Y59" s="5">
        <v>2.64</v>
      </c>
      <c r="Z59" s="5">
        <v>1.8</v>
      </c>
      <c r="AA59" s="5">
        <v>0.4</v>
      </c>
      <c r="AB59" s="5">
        <v>20</v>
      </c>
      <c r="AC59" s="5">
        <v>1.2</v>
      </c>
      <c r="AD59" s="5">
        <v>20.5</v>
      </c>
      <c r="AE59" s="5">
        <v>41.8</v>
      </c>
      <c r="AH59" s="5">
        <v>1.6</v>
      </c>
      <c r="AI59" s="5">
        <v>501</v>
      </c>
      <c r="AJ59" s="5">
        <v>20</v>
      </c>
      <c r="AK59" s="5">
        <v>135</v>
      </c>
      <c r="AL59" s="5">
        <v>3.3</v>
      </c>
      <c r="AM59" s="5">
        <v>15308.67</v>
      </c>
      <c r="AN59" s="5">
        <v>2363.08</v>
      </c>
      <c r="AO59" s="5">
        <v>0.74999999999999989</v>
      </c>
      <c r="AP59" s="5">
        <v>6.75</v>
      </c>
      <c r="AQ59" s="5">
        <v>11.11</v>
      </c>
      <c r="AR59" s="5">
        <v>0.98</v>
      </c>
      <c r="AS59" s="5">
        <v>1.1000000000000001</v>
      </c>
      <c r="AT59" s="5">
        <v>18.63</v>
      </c>
      <c r="AU59" s="5">
        <v>0.13</v>
      </c>
      <c r="AV59" s="5">
        <v>0.11</v>
      </c>
      <c r="AW59" s="5">
        <v>25.05</v>
      </c>
      <c r="AX59" s="5">
        <v>24.44</v>
      </c>
      <c r="AY59" s="5">
        <v>0.02</v>
      </c>
      <c r="BB59" s="5">
        <v>12.5</v>
      </c>
    </row>
    <row r="60" spans="1:54" x14ac:dyDescent="0.3">
      <c r="A60" s="1" t="s">
        <v>14</v>
      </c>
      <c r="B60" s="1" t="s">
        <v>15</v>
      </c>
      <c r="C60" s="1" t="s">
        <v>16</v>
      </c>
      <c r="D60" s="5">
        <v>41.519799999999996</v>
      </c>
      <c r="E60" s="5">
        <v>127.9521</v>
      </c>
      <c r="F60" s="1" t="s">
        <v>17</v>
      </c>
      <c r="G60" s="5" t="s">
        <v>91</v>
      </c>
      <c r="H60" s="5" t="s">
        <v>92</v>
      </c>
      <c r="I60" s="6">
        <v>1.5781451016664508E-2</v>
      </c>
      <c r="J60" s="3" t="s">
        <v>445</v>
      </c>
      <c r="K60" s="5">
        <v>51.964506427607397</v>
      </c>
      <c r="L60" s="5">
        <v>0.154895514038353</v>
      </c>
      <c r="M60" s="5">
        <v>4.5833134353264802</v>
      </c>
      <c r="N60" s="5">
        <v>7.9418067802249404</v>
      </c>
      <c r="O60" s="5">
        <v>3.1563820921757402</v>
      </c>
      <c r="P60" s="5">
        <v>1.82398183765677</v>
      </c>
      <c r="Q60" s="5">
        <v>0</v>
      </c>
      <c r="R60" s="5">
        <v>170</v>
      </c>
      <c r="W60" s="5">
        <v>27</v>
      </c>
      <c r="X60" s="5">
        <v>511</v>
      </c>
      <c r="Y60" s="5">
        <v>4.88</v>
      </c>
      <c r="Z60" s="5">
        <v>2</v>
      </c>
      <c r="AA60" s="5">
        <v>0.5</v>
      </c>
      <c r="AB60" s="5">
        <v>20</v>
      </c>
      <c r="AC60" s="5">
        <v>1.2</v>
      </c>
      <c r="AD60" s="5">
        <v>25.9</v>
      </c>
      <c r="AE60" s="5">
        <v>57.3</v>
      </c>
      <c r="AH60" s="5">
        <v>2.1</v>
      </c>
      <c r="AI60" s="5">
        <v>560</v>
      </c>
      <c r="AJ60" s="5">
        <v>28</v>
      </c>
      <c r="AK60" s="5">
        <v>207</v>
      </c>
      <c r="AL60" s="5">
        <v>5.0999999999999996</v>
      </c>
      <c r="AM60" s="5">
        <v>18055.37</v>
      </c>
      <c r="AN60" s="5">
        <v>3025.97</v>
      </c>
      <c r="AO60" s="5">
        <v>0.5714285714285714</v>
      </c>
      <c r="AP60" s="5">
        <v>7.39</v>
      </c>
      <c r="AQ60" s="5">
        <v>10</v>
      </c>
      <c r="AR60" s="5">
        <v>0.77</v>
      </c>
      <c r="AS60" s="5">
        <v>1.35</v>
      </c>
      <c r="AT60" s="5">
        <v>13.66</v>
      </c>
      <c r="AU60" s="5">
        <v>0.24</v>
      </c>
      <c r="AV60" s="5">
        <v>0.13</v>
      </c>
      <c r="AW60" s="5">
        <v>28</v>
      </c>
      <c r="AX60" s="5">
        <v>21.62</v>
      </c>
      <c r="AY60" s="5">
        <v>0.03</v>
      </c>
      <c r="BB60" s="5">
        <v>9.52</v>
      </c>
    </row>
    <row r="61" spans="1:54" x14ac:dyDescent="0.3">
      <c r="A61" s="1" t="s">
        <v>14</v>
      </c>
      <c r="B61" s="1" t="s">
        <v>15</v>
      </c>
      <c r="C61" s="1" t="s">
        <v>16</v>
      </c>
      <c r="D61" s="5">
        <v>42.472299999999997</v>
      </c>
      <c r="E61" s="5">
        <v>127.43899999999999</v>
      </c>
      <c r="F61" s="1" t="s">
        <v>17</v>
      </c>
      <c r="G61" s="5" t="s">
        <v>93</v>
      </c>
      <c r="H61" s="5" t="s">
        <v>52</v>
      </c>
      <c r="I61" s="6">
        <v>2.2478313185274601E-3</v>
      </c>
      <c r="J61" s="3" t="s">
        <v>445</v>
      </c>
      <c r="K61" s="5">
        <v>48.53</v>
      </c>
      <c r="L61" s="5">
        <v>0.18</v>
      </c>
      <c r="M61" s="5">
        <v>5.08</v>
      </c>
      <c r="N61" s="5">
        <v>7.26</v>
      </c>
      <c r="O61" s="5">
        <v>3.55</v>
      </c>
      <c r="P61" s="5">
        <v>2.71</v>
      </c>
      <c r="Q61" s="5">
        <v>16.560552655265525</v>
      </c>
      <c r="R61" s="5">
        <v>189.12720319316395</v>
      </c>
      <c r="W61" s="5">
        <v>46.54</v>
      </c>
      <c r="X61" s="5">
        <v>857.7</v>
      </c>
      <c r="Y61" s="5">
        <v>3.5</v>
      </c>
      <c r="Z61" s="5">
        <v>4.1399999999999997</v>
      </c>
      <c r="AA61" s="5">
        <v>0.74</v>
      </c>
      <c r="AB61" s="5">
        <v>39.14</v>
      </c>
      <c r="AC61" s="5">
        <v>2.2799999999999998</v>
      </c>
      <c r="AD61" s="5">
        <v>40.159999999999997</v>
      </c>
      <c r="AE61" s="5">
        <v>80.13</v>
      </c>
      <c r="AH61" s="5">
        <v>1.95769410961226</v>
      </c>
      <c r="AI61" s="5">
        <v>1147.52</v>
      </c>
      <c r="AJ61" s="5">
        <v>26.63</v>
      </c>
      <c r="AK61" s="5">
        <v>242.57</v>
      </c>
      <c r="AL61" s="5">
        <v>5.5479692888149614</v>
      </c>
      <c r="AM61" s="5">
        <v>18698.16</v>
      </c>
      <c r="AN61" s="5">
        <v>4364</v>
      </c>
      <c r="AO61" s="5">
        <v>1.1646354702735329</v>
      </c>
      <c r="AP61" s="5">
        <v>9.11</v>
      </c>
      <c r="AQ61" s="5">
        <v>9.4600000000000009</v>
      </c>
      <c r="AR61" s="5">
        <v>0.97</v>
      </c>
      <c r="AS61" s="5">
        <v>1.19</v>
      </c>
      <c r="AT61" s="5">
        <v>21.98</v>
      </c>
      <c r="AU61" s="5">
        <v>0.09</v>
      </c>
      <c r="AV61" s="5">
        <v>0.09</v>
      </c>
      <c r="AW61" s="5">
        <v>29.32</v>
      </c>
      <c r="AX61" s="5">
        <v>28.58</v>
      </c>
      <c r="AY61" s="5">
        <v>0.02</v>
      </c>
      <c r="BB61" s="5">
        <v>19.989999999999998</v>
      </c>
    </row>
    <row r="62" spans="1:54" x14ac:dyDescent="0.3">
      <c r="A62" s="1" t="s">
        <v>14</v>
      </c>
      <c r="B62" s="1" t="s">
        <v>15</v>
      </c>
      <c r="C62" s="1" t="s">
        <v>16</v>
      </c>
      <c r="D62" s="5">
        <v>42.472299999999997</v>
      </c>
      <c r="E62" s="5">
        <v>127.43899999999999</v>
      </c>
      <c r="F62" s="1" t="s">
        <v>17</v>
      </c>
      <c r="G62" s="5" t="s">
        <v>94</v>
      </c>
      <c r="H62" s="5" t="s">
        <v>52</v>
      </c>
      <c r="I62" s="6">
        <v>3.0352792236953968E-4</v>
      </c>
      <c r="J62" s="3" t="s">
        <v>445</v>
      </c>
      <c r="K62" s="5">
        <v>48.07</v>
      </c>
      <c r="L62" s="5">
        <v>0.17</v>
      </c>
      <c r="M62" s="5">
        <v>4.99</v>
      </c>
      <c r="N62" s="5">
        <v>6.86</v>
      </c>
      <c r="O62" s="5">
        <v>3.32</v>
      </c>
      <c r="P62" s="5">
        <v>3.03</v>
      </c>
      <c r="Q62" s="5">
        <v>16.713418615782249</v>
      </c>
      <c r="R62" s="5">
        <v>170.32213268627746</v>
      </c>
      <c r="W62" s="5">
        <v>53.15</v>
      </c>
      <c r="X62" s="5">
        <v>841.28</v>
      </c>
      <c r="Y62" s="5">
        <v>12.82</v>
      </c>
      <c r="Z62" s="5">
        <v>4.9800000000000004</v>
      </c>
      <c r="AA62" s="5">
        <v>0.91</v>
      </c>
      <c r="AB62" s="5">
        <v>47.65</v>
      </c>
      <c r="AC62" s="5">
        <v>2.9</v>
      </c>
      <c r="AD62" s="5">
        <v>46.82</v>
      </c>
      <c r="AE62" s="5">
        <v>91.12</v>
      </c>
      <c r="AH62" s="5">
        <v>1.9726157791601899</v>
      </c>
      <c r="AI62" s="5">
        <v>1340.63</v>
      </c>
      <c r="AJ62" s="5">
        <v>26.37</v>
      </c>
      <c r="AK62" s="5">
        <v>265.7</v>
      </c>
      <c r="AL62" s="5">
        <v>6.0446505019890129</v>
      </c>
      <c r="AM62" s="5">
        <v>17679.349999999999</v>
      </c>
      <c r="AN62" s="5">
        <v>4189.4399999999996</v>
      </c>
      <c r="AO62" s="5">
        <v>1.4701291709400344</v>
      </c>
      <c r="AP62" s="5">
        <v>10.07</v>
      </c>
      <c r="AQ62" s="5">
        <v>9.57</v>
      </c>
      <c r="AR62" s="5">
        <v>1.02</v>
      </c>
      <c r="AS62" s="5">
        <v>1.1200000000000001</v>
      </c>
      <c r="AT62" s="5">
        <v>19.420000000000002</v>
      </c>
      <c r="AU62" s="5">
        <v>0.27</v>
      </c>
      <c r="AV62" s="5">
        <v>0.3</v>
      </c>
      <c r="AW62" s="5">
        <v>28.13</v>
      </c>
      <c r="AX62" s="5">
        <v>28.63</v>
      </c>
      <c r="AY62" s="5">
        <v>0.02</v>
      </c>
      <c r="BB62" s="5">
        <v>24.16</v>
      </c>
    </row>
    <row r="63" spans="1:54" x14ac:dyDescent="0.3">
      <c r="A63" s="1" t="s">
        <v>14</v>
      </c>
      <c r="B63" s="1" t="s">
        <v>15</v>
      </c>
      <c r="C63" s="1" t="s">
        <v>16</v>
      </c>
      <c r="D63" s="5">
        <v>42.472299999999997</v>
      </c>
      <c r="E63" s="5">
        <v>127.43899999999999</v>
      </c>
      <c r="F63" s="1" t="s">
        <v>17</v>
      </c>
      <c r="G63" s="5" t="s">
        <v>95</v>
      </c>
      <c r="H63" s="5" t="s">
        <v>52</v>
      </c>
      <c r="I63" s="6">
        <v>1.27803604118526E-3</v>
      </c>
      <c r="J63" s="3" t="s">
        <v>445</v>
      </c>
      <c r="K63" s="5">
        <v>49.23</v>
      </c>
      <c r="L63" s="5">
        <v>0.18</v>
      </c>
      <c r="M63" s="5">
        <v>5.46</v>
      </c>
      <c r="N63" s="5">
        <v>7.85</v>
      </c>
      <c r="O63" s="5">
        <v>3.68</v>
      </c>
      <c r="P63" s="5">
        <v>1.65</v>
      </c>
      <c r="Q63" s="5">
        <v>18.264239929369371</v>
      </c>
      <c r="R63" s="5">
        <v>162.09272496467614</v>
      </c>
      <c r="W63" s="5">
        <v>19.440000000000001</v>
      </c>
      <c r="X63" s="5">
        <v>546.33000000000004</v>
      </c>
      <c r="Y63" s="5">
        <v>2.27</v>
      </c>
      <c r="Z63" s="5">
        <v>3.45</v>
      </c>
      <c r="AA63" s="5">
        <v>0.45</v>
      </c>
      <c r="AB63" s="5">
        <v>31.92</v>
      </c>
      <c r="AC63" s="5">
        <v>1.87</v>
      </c>
      <c r="AD63" s="5">
        <v>31.85</v>
      </c>
      <c r="AE63" s="5">
        <v>63.14</v>
      </c>
      <c r="AH63" s="5">
        <v>1.8421078841010401</v>
      </c>
      <c r="AI63" s="5">
        <v>645.83000000000004</v>
      </c>
      <c r="AJ63" s="5">
        <v>25.85</v>
      </c>
      <c r="AK63" s="5">
        <v>187.76</v>
      </c>
      <c r="AL63" s="5">
        <v>4.3821094564408041</v>
      </c>
      <c r="AM63" s="5">
        <v>14323.27</v>
      </c>
      <c r="AN63" s="5">
        <v>4102.16</v>
      </c>
      <c r="AO63" s="5">
        <v>1.0151414128019822</v>
      </c>
      <c r="AP63" s="5">
        <v>7.26</v>
      </c>
      <c r="AQ63" s="5">
        <v>9.26</v>
      </c>
      <c r="AR63" s="5">
        <v>1</v>
      </c>
      <c r="AS63" s="5">
        <v>0.61</v>
      </c>
      <c r="AT63" s="5">
        <v>16.57</v>
      </c>
      <c r="AU63" s="5">
        <v>7.0000000000000007E-2</v>
      </c>
      <c r="AV63" s="5">
        <v>7.0000000000000007E-2</v>
      </c>
      <c r="AW63" s="5">
        <v>20.23</v>
      </c>
      <c r="AX63" s="5">
        <v>20.27</v>
      </c>
      <c r="AY63" s="5">
        <v>0.01</v>
      </c>
      <c r="BB63" s="5">
        <v>17.329999999999998</v>
      </c>
    </row>
    <row r="64" spans="1:54" x14ac:dyDescent="0.3">
      <c r="A64" s="1" t="s">
        <v>14</v>
      </c>
      <c r="B64" s="1" t="s">
        <v>15</v>
      </c>
      <c r="C64" s="1" t="s">
        <v>16</v>
      </c>
      <c r="D64" s="5">
        <v>42.472299999999997</v>
      </c>
      <c r="E64" s="5">
        <v>127.43899999999999</v>
      </c>
      <c r="F64" s="1" t="s">
        <v>17</v>
      </c>
      <c r="G64" s="5" t="s">
        <v>96</v>
      </c>
      <c r="H64" s="5" t="s">
        <v>52</v>
      </c>
      <c r="I64" s="6">
        <v>2.3241741582751271E-2</v>
      </c>
      <c r="J64" s="3" t="s">
        <v>445</v>
      </c>
      <c r="K64" s="5">
        <v>49.58</v>
      </c>
      <c r="L64" s="5">
        <v>0.16</v>
      </c>
      <c r="M64" s="5">
        <v>6.19</v>
      </c>
      <c r="N64" s="5">
        <v>8.14</v>
      </c>
      <c r="O64" s="5">
        <v>3.4</v>
      </c>
      <c r="P64" s="5">
        <v>2.31</v>
      </c>
      <c r="Q64" s="5">
        <v>19.375368886626148</v>
      </c>
      <c r="R64" s="5">
        <v>193.87899243604005</v>
      </c>
      <c r="W64" s="5">
        <v>37.6</v>
      </c>
      <c r="X64" s="5">
        <v>720.79</v>
      </c>
      <c r="Y64" s="5">
        <v>2.67</v>
      </c>
      <c r="Z64" s="5">
        <v>3.58</v>
      </c>
      <c r="AA64" s="5">
        <v>0.53</v>
      </c>
      <c r="AB64" s="5">
        <v>32.799999999999997</v>
      </c>
      <c r="AC64" s="5">
        <v>2.1800000000000002</v>
      </c>
      <c r="AD64" s="5">
        <v>31.38</v>
      </c>
      <c r="AE64" s="5">
        <v>63.74</v>
      </c>
      <c r="AH64" s="5">
        <v>1.55774095118811</v>
      </c>
      <c r="AI64" s="5">
        <v>794.02</v>
      </c>
      <c r="AJ64" s="5">
        <v>21.87</v>
      </c>
      <c r="AK64" s="5">
        <v>196.15</v>
      </c>
      <c r="AL64" s="5">
        <v>4.4919992048694892</v>
      </c>
      <c r="AM64" s="5">
        <v>14323.27</v>
      </c>
      <c r="AN64" s="5">
        <v>3447.56</v>
      </c>
      <c r="AO64" s="5">
        <v>1.3994624705329117</v>
      </c>
      <c r="AP64" s="5">
        <v>8.9700000000000006</v>
      </c>
      <c r="AQ64" s="5">
        <v>9.16</v>
      </c>
      <c r="AR64" s="5">
        <v>1.05</v>
      </c>
      <c r="AS64" s="5">
        <v>1.1499999999999999</v>
      </c>
      <c r="AT64" s="5">
        <v>23.23</v>
      </c>
      <c r="AU64" s="5">
        <v>0.08</v>
      </c>
      <c r="AV64" s="5">
        <v>0.09</v>
      </c>
      <c r="AW64" s="5">
        <v>24.21</v>
      </c>
      <c r="AX64" s="5">
        <v>25.31</v>
      </c>
      <c r="AY64" s="5">
        <v>0.02</v>
      </c>
      <c r="BB64" s="5">
        <v>21.05</v>
      </c>
    </row>
    <row r="65" spans="1:54" x14ac:dyDescent="0.3">
      <c r="A65" s="1" t="s">
        <v>14</v>
      </c>
      <c r="B65" s="1" t="s">
        <v>15</v>
      </c>
      <c r="C65" s="1" t="s">
        <v>16</v>
      </c>
      <c r="D65" s="5">
        <v>42.472299999999997</v>
      </c>
      <c r="E65" s="5">
        <v>127.43899999999999</v>
      </c>
      <c r="F65" s="1" t="s">
        <v>17</v>
      </c>
      <c r="G65" s="5" t="s">
        <v>97</v>
      </c>
      <c r="H65" s="5" t="s">
        <v>98</v>
      </c>
      <c r="I65" s="6">
        <v>0.36966720223426819</v>
      </c>
      <c r="J65" s="3" t="s">
        <v>445</v>
      </c>
      <c r="K65" s="5">
        <v>49.91</v>
      </c>
      <c r="L65" s="5">
        <v>0.18</v>
      </c>
      <c r="M65" s="5">
        <v>7.79</v>
      </c>
      <c r="N65" s="5">
        <v>8.69</v>
      </c>
      <c r="O65" s="5">
        <v>3.09</v>
      </c>
      <c r="P65" s="5">
        <v>0.8</v>
      </c>
      <c r="Q65" s="5">
        <v>17.247849124318559</v>
      </c>
      <c r="R65" s="5">
        <v>179.5306544525817</v>
      </c>
      <c r="W65" s="5">
        <v>13.5</v>
      </c>
      <c r="X65" s="5">
        <v>367.83</v>
      </c>
      <c r="Y65" s="5">
        <v>1.25</v>
      </c>
      <c r="Z65" s="5">
        <v>1.47</v>
      </c>
      <c r="AA65" s="5">
        <v>0.27</v>
      </c>
      <c r="AB65" s="5">
        <v>10.3</v>
      </c>
      <c r="AC65" s="5">
        <v>0.51</v>
      </c>
      <c r="AD65" s="5">
        <v>11.21</v>
      </c>
      <c r="AE65" s="5">
        <v>23.06</v>
      </c>
      <c r="AH65" s="5">
        <v>1.3861952674420099</v>
      </c>
      <c r="AI65" s="5">
        <v>271.51</v>
      </c>
      <c r="AJ65" s="5">
        <v>17.38</v>
      </c>
      <c r="AK65" s="5">
        <v>83.31</v>
      </c>
      <c r="AL65" s="5">
        <v>2.2574191133968666</v>
      </c>
      <c r="AM65" s="5">
        <v>10307.959999999999</v>
      </c>
      <c r="AN65" s="5">
        <v>1134.6400000000001</v>
      </c>
      <c r="AO65" s="5">
        <v>0.36791353424623874</v>
      </c>
      <c r="AP65" s="5">
        <v>4.79</v>
      </c>
      <c r="AQ65" s="5">
        <v>6.99</v>
      </c>
      <c r="AR65" s="5">
        <v>0.92</v>
      </c>
      <c r="AS65" s="5">
        <v>1.31</v>
      </c>
      <c r="AT65" s="5">
        <v>28.98</v>
      </c>
      <c r="AU65" s="5">
        <v>0.12</v>
      </c>
      <c r="AV65" s="5">
        <v>0.1</v>
      </c>
      <c r="AW65" s="5">
        <v>26.36</v>
      </c>
      <c r="AX65" s="5">
        <v>24.23</v>
      </c>
      <c r="AY65" s="5">
        <v>0.03</v>
      </c>
      <c r="BB65" s="5">
        <v>7.43</v>
      </c>
    </row>
    <row r="66" spans="1:54" x14ac:dyDescent="0.3">
      <c r="A66" s="1" t="s">
        <v>14</v>
      </c>
      <c r="B66" s="1" t="s">
        <v>15</v>
      </c>
      <c r="C66" s="1" t="s">
        <v>16</v>
      </c>
      <c r="D66" s="5">
        <v>42.472299999999997</v>
      </c>
      <c r="E66" s="5">
        <v>127.43899999999999</v>
      </c>
      <c r="F66" s="1" t="s">
        <v>17</v>
      </c>
      <c r="G66" s="5" t="s">
        <v>99</v>
      </c>
      <c r="H66" s="5" t="s">
        <v>52</v>
      </c>
      <c r="I66" s="6">
        <v>2.5211030151695009E-3</v>
      </c>
      <c r="J66" s="3" t="s">
        <v>445</v>
      </c>
      <c r="K66" s="5">
        <v>48.25</v>
      </c>
      <c r="L66" s="5">
        <v>0.17</v>
      </c>
      <c r="M66" s="5">
        <v>5.35</v>
      </c>
      <c r="N66" s="5">
        <v>7.28</v>
      </c>
      <c r="O66" s="5">
        <v>3.74</v>
      </c>
      <c r="P66" s="5">
        <v>2.68</v>
      </c>
      <c r="Q66" s="5">
        <v>14.908148386142566</v>
      </c>
      <c r="R66" s="5">
        <v>194.09286687402803</v>
      </c>
      <c r="W66" s="5">
        <v>61.07</v>
      </c>
      <c r="X66" s="5">
        <v>863.31</v>
      </c>
      <c r="Y66" s="5">
        <v>3.44</v>
      </c>
      <c r="Z66" s="5">
        <v>4.6100000000000003</v>
      </c>
      <c r="AA66" s="5">
        <v>0.85</v>
      </c>
      <c r="AB66" s="5">
        <v>45.53</v>
      </c>
      <c r="AC66" s="5">
        <v>2.56</v>
      </c>
      <c r="AD66" s="5">
        <v>45.38</v>
      </c>
      <c r="AE66" s="5">
        <v>90.28</v>
      </c>
      <c r="AH66" s="5">
        <v>1.92595862340354</v>
      </c>
      <c r="AI66" s="5">
        <v>1237.57</v>
      </c>
      <c r="AJ66" s="5">
        <v>25.73</v>
      </c>
      <c r="AK66" s="5">
        <v>250.88</v>
      </c>
      <c r="AL66" s="5">
        <v>5.9592336955984528</v>
      </c>
      <c r="AM66" s="5">
        <v>18098.86</v>
      </c>
      <c r="AN66" s="5">
        <v>3665.76</v>
      </c>
      <c r="AO66" s="5">
        <v>1.3292082025500562</v>
      </c>
      <c r="AP66" s="5">
        <v>9.75</v>
      </c>
      <c r="AQ66" s="5">
        <v>9.8800000000000008</v>
      </c>
      <c r="AR66" s="5">
        <v>1</v>
      </c>
      <c r="AS66" s="5">
        <v>1.34</v>
      </c>
      <c r="AT66" s="5">
        <v>20.82</v>
      </c>
      <c r="AU66" s="5">
        <v>0.08</v>
      </c>
      <c r="AV66" s="5">
        <v>0.08</v>
      </c>
      <c r="AW66" s="5">
        <v>27.18</v>
      </c>
      <c r="AX66" s="5">
        <v>27.27</v>
      </c>
      <c r="AY66" s="5">
        <v>0.02</v>
      </c>
      <c r="BB66" s="5">
        <v>23.64</v>
      </c>
    </row>
    <row r="67" spans="1:54" x14ac:dyDescent="0.3">
      <c r="A67" s="1" t="s">
        <v>14</v>
      </c>
      <c r="B67" s="1" t="s">
        <v>15</v>
      </c>
      <c r="C67" s="1" t="s">
        <v>16</v>
      </c>
      <c r="D67" s="5">
        <v>42.345799999999997</v>
      </c>
      <c r="E67" s="5">
        <v>127.04</v>
      </c>
      <c r="F67" s="1" t="s">
        <v>17</v>
      </c>
      <c r="G67" s="5" t="s">
        <v>100</v>
      </c>
      <c r="H67" s="5" t="s">
        <v>52</v>
      </c>
      <c r="I67" s="6">
        <v>1.2513206456787879E-5</v>
      </c>
      <c r="J67" s="3" t="s">
        <v>445</v>
      </c>
      <c r="K67" s="5">
        <v>49.41</v>
      </c>
      <c r="L67" s="5">
        <v>0.17</v>
      </c>
      <c r="M67" s="5">
        <v>5.82</v>
      </c>
      <c r="N67" s="5">
        <v>7.53</v>
      </c>
      <c r="O67" s="5">
        <v>3.85</v>
      </c>
      <c r="P67" s="5">
        <v>2.0499999999999998</v>
      </c>
      <c r="Q67" s="5">
        <v>14.750769523322516</v>
      </c>
      <c r="R67" s="5">
        <v>140.91077956103391</v>
      </c>
      <c r="W67" s="5">
        <v>47.83</v>
      </c>
      <c r="X67" s="5">
        <v>654.73</v>
      </c>
      <c r="Y67" s="5">
        <v>3.27</v>
      </c>
      <c r="Z67" s="5">
        <v>6.25</v>
      </c>
      <c r="AA67" s="5">
        <v>1.0900000000000001</v>
      </c>
      <c r="AB67" s="5">
        <v>53.6</v>
      </c>
      <c r="AC67" s="5">
        <v>3.15</v>
      </c>
      <c r="AD67" s="5">
        <v>41.89</v>
      </c>
      <c r="AE67" s="5">
        <v>77.39</v>
      </c>
      <c r="AH67" s="5">
        <v>1.7674903224174801</v>
      </c>
      <c r="AI67" s="5">
        <v>728.4</v>
      </c>
      <c r="AJ67" s="5">
        <v>21.57</v>
      </c>
      <c r="AK67" s="5">
        <v>235.05</v>
      </c>
      <c r="AL67" s="5">
        <v>5.323231226175821</v>
      </c>
      <c r="AM67" s="5">
        <v>13064.74</v>
      </c>
      <c r="AN67" s="5">
        <v>2443.84</v>
      </c>
      <c r="AO67" s="5">
        <v>1.7821879758252912</v>
      </c>
      <c r="AP67" s="5">
        <v>10.9</v>
      </c>
      <c r="AQ67" s="5">
        <v>8.57</v>
      </c>
      <c r="AR67" s="5">
        <v>1.28</v>
      </c>
      <c r="AS67" s="5">
        <v>0.89</v>
      </c>
      <c r="AT67" s="5">
        <v>18.45</v>
      </c>
      <c r="AU67" s="5">
        <v>0.06</v>
      </c>
      <c r="AV67" s="5">
        <v>0.09</v>
      </c>
      <c r="AW67" s="5">
        <v>13.59</v>
      </c>
      <c r="AX67" s="5">
        <v>17.39</v>
      </c>
      <c r="AY67" s="5">
        <v>0.02</v>
      </c>
      <c r="BB67" s="5">
        <v>30.32</v>
      </c>
    </row>
    <row r="68" spans="1:54" x14ac:dyDescent="0.3">
      <c r="A68" s="1" t="s">
        <v>14</v>
      </c>
      <c r="B68" s="1" t="s">
        <v>15</v>
      </c>
      <c r="C68" s="1" t="s">
        <v>16</v>
      </c>
      <c r="D68" s="5">
        <v>42.345799999999997</v>
      </c>
      <c r="E68" s="5">
        <v>127.04</v>
      </c>
      <c r="F68" s="1" t="s">
        <v>17</v>
      </c>
      <c r="G68" s="5" t="s">
        <v>101</v>
      </c>
      <c r="H68" s="5" t="s">
        <v>98</v>
      </c>
      <c r="I68" s="6">
        <v>1.947598648257554E-3</v>
      </c>
      <c r="J68" s="3" t="s">
        <v>445</v>
      </c>
      <c r="K68" s="5">
        <v>51.3</v>
      </c>
      <c r="L68" s="5">
        <v>0.16</v>
      </c>
      <c r="M68" s="5">
        <v>7.18</v>
      </c>
      <c r="N68" s="5">
        <v>8.06</v>
      </c>
      <c r="O68" s="5">
        <v>3.53</v>
      </c>
      <c r="P68" s="5">
        <v>0.78</v>
      </c>
      <c r="Q68" s="5">
        <v>18.818206619667659</v>
      </c>
      <c r="R68" s="5">
        <v>150.64814038449177</v>
      </c>
      <c r="W68" s="5">
        <v>13.66</v>
      </c>
      <c r="X68" s="5">
        <v>313.98</v>
      </c>
      <c r="Y68" s="5">
        <v>1.76</v>
      </c>
      <c r="Z68" s="5">
        <v>2.36</v>
      </c>
      <c r="AA68" s="5">
        <v>0.4</v>
      </c>
      <c r="AB68" s="5">
        <v>16.29</v>
      </c>
      <c r="AC68" s="5">
        <v>0.93</v>
      </c>
      <c r="AD68" s="5">
        <v>14.82</v>
      </c>
      <c r="AE68" s="5">
        <v>27.13</v>
      </c>
      <c r="AH68" s="5">
        <v>1.3983098469919799</v>
      </c>
      <c r="AI68" s="5">
        <v>249.21</v>
      </c>
      <c r="AJ68" s="5">
        <v>16.579999999999998</v>
      </c>
      <c r="AK68" s="5">
        <v>106.03</v>
      </c>
      <c r="AL68" s="5">
        <v>2.7294011023536342</v>
      </c>
      <c r="AM68" s="5">
        <v>7850.83</v>
      </c>
      <c r="AN68" s="5">
        <v>829.16</v>
      </c>
      <c r="AO68" s="5">
        <v>0.66508864398015932</v>
      </c>
      <c r="AP68" s="5">
        <v>6.39</v>
      </c>
      <c r="AQ68" s="5">
        <v>6.9</v>
      </c>
      <c r="AR68" s="5">
        <v>1.1000000000000001</v>
      </c>
      <c r="AS68" s="5">
        <v>0.84</v>
      </c>
      <c r="AT68" s="5">
        <v>21.56</v>
      </c>
      <c r="AU68" s="5">
        <v>0.11</v>
      </c>
      <c r="AV68" s="5">
        <v>0.12</v>
      </c>
      <c r="AW68" s="5">
        <v>15.3</v>
      </c>
      <c r="AX68" s="5">
        <v>16.809999999999999</v>
      </c>
      <c r="AY68" s="5">
        <v>0.02</v>
      </c>
      <c r="BB68" s="5">
        <v>11.65</v>
      </c>
    </row>
    <row r="69" spans="1:54" x14ac:dyDescent="0.3">
      <c r="A69" s="1" t="s">
        <v>14</v>
      </c>
      <c r="B69" s="1" t="s">
        <v>15</v>
      </c>
      <c r="C69" s="1" t="s">
        <v>16</v>
      </c>
      <c r="D69" s="5">
        <v>42.345799999999997</v>
      </c>
      <c r="E69" s="5">
        <v>127.04</v>
      </c>
      <c r="F69" s="1" t="s">
        <v>17</v>
      </c>
      <c r="G69" s="5" t="s">
        <v>102</v>
      </c>
      <c r="H69" s="5" t="s">
        <v>98</v>
      </c>
      <c r="I69" s="6">
        <v>1.1527669848874209E-3</v>
      </c>
      <c r="J69" s="3" t="s">
        <v>445</v>
      </c>
      <c r="K69" s="5">
        <v>51.39</v>
      </c>
      <c r="L69" s="5">
        <v>0.16</v>
      </c>
      <c r="M69" s="5">
        <v>6.25</v>
      </c>
      <c r="N69" s="5">
        <v>8.17</v>
      </c>
      <c r="O69" s="5">
        <v>3.45</v>
      </c>
      <c r="P69" s="5">
        <v>0.74</v>
      </c>
      <c r="Q69" s="5">
        <v>18.478805371115442</v>
      </c>
      <c r="R69" s="5">
        <v>156.49042004442353</v>
      </c>
      <c r="W69" s="5">
        <v>13.18</v>
      </c>
      <c r="X69" s="5">
        <v>333.17</v>
      </c>
      <c r="Y69" s="5">
        <v>1.96</v>
      </c>
      <c r="Z69" s="5">
        <v>2.88</v>
      </c>
      <c r="AA69" s="5">
        <v>0.43</v>
      </c>
      <c r="AB69" s="5">
        <v>17.91</v>
      </c>
      <c r="AC69" s="5">
        <v>1.02</v>
      </c>
      <c r="AD69" s="5">
        <v>15.83</v>
      </c>
      <c r="AE69" s="5">
        <v>29.13</v>
      </c>
      <c r="AH69" s="5">
        <v>1.3715565948277</v>
      </c>
      <c r="AI69" s="5">
        <v>261.01</v>
      </c>
      <c r="AJ69" s="5">
        <v>17.02</v>
      </c>
      <c r="AK69" s="5">
        <v>113.09</v>
      </c>
      <c r="AL69" s="5">
        <v>2.9023623106539227</v>
      </c>
      <c r="AM69" s="5">
        <v>7371.39</v>
      </c>
      <c r="AN69" s="5">
        <v>829.16</v>
      </c>
      <c r="AO69" s="5">
        <v>0.74368057712422442</v>
      </c>
      <c r="AP69" s="5">
        <v>6.64</v>
      </c>
      <c r="AQ69" s="5">
        <v>6.21</v>
      </c>
      <c r="AR69" s="5">
        <v>1.1299999999999999</v>
      </c>
      <c r="AS69" s="5">
        <v>0.74</v>
      </c>
      <c r="AT69" s="5">
        <v>23.41</v>
      </c>
      <c r="AU69" s="5">
        <v>0.11</v>
      </c>
      <c r="AV69" s="5">
        <v>0.14000000000000001</v>
      </c>
      <c r="AW69" s="5">
        <v>14.58</v>
      </c>
      <c r="AX69" s="5">
        <v>16.489999999999998</v>
      </c>
      <c r="AY69" s="5">
        <v>0.02</v>
      </c>
      <c r="BB69" s="5">
        <v>13.05</v>
      </c>
    </row>
    <row r="70" spans="1:54" x14ac:dyDescent="0.3">
      <c r="A70" s="1" t="s">
        <v>14</v>
      </c>
      <c r="B70" s="1" t="s">
        <v>15</v>
      </c>
      <c r="C70" s="1" t="s">
        <v>16</v>
      </c>
      <c r="D70" s="5">
        <v>42.345799999999997</v>
      </c>
      <c r="E70" s="5">
        <v>127.04</v>
      </c>
      <c r="F70" s="1" t="s">
        <v>17</v>
      </c>
      <c r="G70" s="5" t="s">
        <v>103</v>
      </c>
      <c r="H70" s="5" t="s">
        <v>52</v>
      </c>
      <c r="I70" s="6">
        <v>7.0456406101584426E-3</v>
      </c>
      <c r="J70" s="3" t="s">
        <v>445</v>
      </c>
      <c r="K70" s="5">
        <v>49.75</v>
      </c>
      <c r="L70" s="5">
        <v>0.16</v>
      </c>
      <c r="M70" s="5">
        <v>7.31</v>
      </c>
      <c r="N70" s="5">
        <v>8.92</v>
      </c>
      <c r="O70" s="5">
        <v>3.53</v>
      </c>
      <c r="P70" s="5">
        <v>1.2</v>
      </c>
      <c r="Q70" s="5">
        <v>21.090737720975788</v>
      </c>
      <c r="R70" s="5">
        <v>178.45649263774433</v>
      </c>
      <c r="W70" s="5">
        <v>16.23</v>
      </c>
      <c r="X70" s="5">
        <v>446.15</v>
      </c>
      <c r="Y70" s="5">
        <v>2.0099999999999998</v>
      </c>
      <c r="Z70" s="5">
        <v>2.67</v>
      </c>
      <c r="AA70" s="5">
        <v>0.47</v>
      </c>
      <c r="AB70" s="5">
        <v>21.66</v>
      </c>
      <c r="AC70" s="5">
        <v>1.19</v>
      </c>
      <c r="AD70" s="5">
        <v>19.52</v>
      </c>
      <c r="AE70" s="5">
        <v>38.15</v>
      </c>
      <c r="AH70" s="5">
        <v>1.5407634440111999</v>
      </c>
      <c r="AI70" s="5">
        <v>375.92</v>
      </c>
      <c r="AJ70" s="5">
        <v>18.670000000000002</v>
      </c>
      <c r="AK70" s="5">
        <v>130.11000000000001</v>
      </c>
      <c r="AL70" s="5">
        <v>3.257193302699541</v>
      </c>
      <c r="AM70" s="5">
        <v>11626.42</v>
      </c>
      <c r="AN70" s="5">
        <v>1396.48</v>
      </c>
      <c r="AO70" s="5">
        <v>0.77234438850779863</v>
      </c>
      <c r="AP70" s="5">
        <v>6.97</v>
      </c>
      <c r="AQ70" s="5">
        <v>8.1</v>
      </c>
      <c r="AR70" s="5">
        <v>1.1100000000000001</v>
      </c>
      <c r="AS70" s="5">
        <v>0.75</v>
      </c>
      <c r="AT70" s="5">
        <v>22.17</v>
      </c>
      <c r="AU70" s="5">
        <v>0.09</v>
      </c>
      <c r="AV70" s="5">
        <v>0.1</v>
      </c>
      <c r="AW70" s="5">
        <v>17.36</v>
      </c>
      <c r="AX70" s="5">
        <v>19.260000000000002</v>
      </c>
      <c r="AY70" s="5">
        <v>0.02</v>
      </c>
      <c r="BB70" s="5">
        <v>14.06</v>
      </c>
    </row>
    <row r="71" spans="1:54" x14ac:dyDescent="0.3">
      <c r="A71" s="1" t="s">
        <v>14</v>
      </c>
      <c r="B71" s="1" t="s">
        <v>15</v>
      </c>
      <c r="C71" s="1" t="s">
        <v>16</v>
      </c>
      <c r="D71" s="5">
        <v>42</v>
      </c>
      <c r="E71" s="5">
        <v>128.07</v>
      </c>
      <c r="F71" s="1" t="s">
        <v>17</v>
      </c>
      <c r="G71" s="5" t="s">
        <v>104</v>
      </c>
      <c r="H71" s="5" t="s">
        <v>105</v>
      </c>
      <c r="I71" s="6">
        <v>1.080059818923473E-2</v>
      </c>
      <c r="J71" s="3" t="s">
        <v>445</v>
      </c>
      <c r="K71" s="5">
        <v>50.5</v>
      </c>
      <c r="L71" s="5">
        <v>0.13</v>
      </c>
      <c r="M71" s="5">
        <v>4.6500000000000004</v>
      </c>
      <c r="N71" s="5">
        <v>7.9</v>
      </c>
      <c r="O71" s="5">
        <v>3.86</v>
      </c>
      <c r="P71" s="5">
        <v>2.0499999999999998</v>
      </c>
      <c r="Q71" s="5">
        <v>20</v>
      </c>
      <c r="R71" s="5">
        <v>201</v>
      </c>
      <c r="W71" s="5">
        <v>36</v>
      </c>
      <c r="X71" s="5">
        <v>688</v>
      </c>
      <c r="Y71" s="5">
        <v>3.51</v>
      </c>
      <c r="Z71" s="5">
        <v>4.12</v>
      </c>
      <c r="AA71" s="5">
        <v>0.79</v>
      </c>
      <c r="AB71" s="5">
        <v>35.18</v>
      </c>
      <c r="AC71" s="5">
        <v>2.59</v>
      </c>
      <c r="AD71" s="5">
        <v>34.28</v>
      </c>
      <c r="AE71" s="5">
        <v>70.55</v>
      </c>
      <c r="AH71" s="5">
        <v>2.69</v>
      </c>
      <c r="AI71" s="5">
        <v>586</v>
      </c>
      <c r="AJ71" s="5">
        <v>22</v>
      </c>
      <c r="AK71" s="5">
        <v>231</v>
      </c>
      <c r="AL71" s="5">
        <v>6.52</v>
      </c>
      <c r="AM71" s="5">
        <v>16121.17</v>
      </c>
      <c r="AN71" s="5">
        <v>2443.84</v>
      </c>
      <c r="AO71" s="5">
        <v>0.96282527881040891</v>
      </c>
      <c r="AP71" s="5">
        <v>10.5</v>
      </c>
      <c r="AQ71" s="5">
        <v>8.5399999999999991</v>
      </c>
      <c r="AR71" s="5">
        <v>1.03</v>
      </c>
      <c r="AS71" s="5">
        <v>1.02</v>
      </c>
      <c r="AT71" s="5">
        <v>18.72</v>
      </c>
      <c r="AU71" s="5">
        <v>0.1</v>
      </c>
      <c r="AV71" s="5">
        <v>0.1</v>
      </c>
      <c r="AW71" s="5">
        <v>16.66</v>
      </c>
      <c r="AX71" s="5">
        <v>17.09</v>
      </c>
      <c r="AY71" s="5">
        <v>0.02</v>
      </c>
      <c r="BB71" s="5">
        <v>13.08</v>
      </c>
    </row>
    <row r="72" spans="1:54" x14ac:dyDescent="0.3">
      <c r="A72" s="1" t="s">
        <v>14</v>
      </c>
      <c r="B72" s="1" t="s">
        <v>15</v>
      </c>
      <c r="C72" s="1" t="s">
        <v>16</v>
      </c>
      <c r="D72" s="5">
        <v>42</v>
      </c>
      <c r="E72" s="5">
        <v>127</v>
      </c>
      <c r="F72" s="1" t="s">
        <v>17</v>
      </c>
      <c r="G72" s="5" t="s">
        <v>106</v>
      </c>
      <c r="H72" s="5" t="s">
        <v>107</v>
      </c>
      <c r="I72" s="6">
        <v>7.9981805756688118E-3</v>
      </c>
      <c r="J72" s="3" t="s">
        <v>445</v>
      </c>
      <c r="K72" s="5">
        <v>51.57</v>
      </c>
      <c r="L72" s="5">
        <v>0.16</v>
      </c>
      <c r="M72" s="5">
        <v>4.3899999999999997</v>
      </c>
      <c r="N72" s="5">
        <v>7.34</v>
      </c>
      <c r="O72" s="5">
        <v>3.44</v>
      </c>
      <c r="P72" s="5">
        <v>1.95</v>
      </c>
      <c r="Q72" s="5">
        <v>0</v>
      </c>
      <c r="R72" s="5">
        <v>215</v>
      </c>
      <c r="W72" s="5">
        <v>32.200000000000003</v>
      </c>
      <c r="X72" s="5">
        <v>512</v>
      </c>
      <c r="Y72" s="5">
        <v>6.63</v>
      </c>
      <c r="Z72" s="5">
        <v>3.25</v>
      </c>
      <c r="AA72" s="5">
        <v>0.65</v>
      </c>
      <c r="AB72" s="5">
        <v>24</v>
      </c>
      <c r="AC72" s="5">
        <v>1.44</v>
      </c>
      <c r="AD72" s="5">
        <v>26.2</v>
      </c>
      <c r="AE72" s="5">
        <v>53.5</v>
      </c>
      <c r="AH72" s="5">
        <v>2.04</v>
      </c>
      <c r="AI72" s="5">
        <v>701</v>
      </c>
      <c r="AJ72" s="5">
        <v>24.9</v>
      </c>
      <c r="AK72" s="5">
        <v>242</v>
      </c>
      <c r="AL72" s="5">
        <v>5.47</v>
      </c>
      <c r="AM72" s="5">
        <v>16960.189999999999</v>
      </c>
      <c r="AN72" s="5">
        <v>2312.92</v>
      </c>
      <c r="AO72" s="5">
        <v>0.70588235294117641</v>
      </c>
      <c r="AP72" s="5">
        <v>9.7200000000000006</v>
      </c>
      <c r="AQ72" s="5">
        <v>7.38</v>
      </c>
      <c r="AR72" s="5">
        <v>0.92</v>
      </c>
      <c r="AS72" s="5">
        <v>1.34</v>
      </c>
      <c r="AT72" s="5">
        <v>17.12</v>
      </c>
      <c r="AU72" s="5">
        <v>0.28000000000000003</v>
      </c>
      <c r="AV72" s="5">
        <v>0.22</v>
      </c>
      <c r="AW72" s="5">
        <v>29.21</v>
      </c>
      <c r="AX72" s="5">
        <v>26.76</v>
      </c>
      <c r="AY72" s="5">
        <v>0.03</v>
      </c>
      <c r="BB72" s="5">
        <v>11.76</v>
      </c>
    </row>
    <row r="73" spans="1:54" x14ac:dyDescent="0.3">
      <c r="A73" s="1" t="s">
        <v>14</v>
      </c>
      <c r="B73" s="1" t="s">
        <v>15</v>
      </c>
      <c r="C73" s="1" t="s">
        <v>16</v>
      </c>
      <c r="D73" s="5">
        <v>42</v>
      </c>
      <c r="E73" s="5">
        <v>127</v>
      </c>
      <c r="F73" s="1" t="s">
        <v>17</v>
      </c>
      <c r="G73" s="5" t="s">
        <v>108</v>
      </c>
      <c r="H73" s="5" t="s">
        <v>107</v>
      </c>
      <c r="I73" s="6">
        <v>2.7430045884102579E-3</v>
      </c>
      <c r="J73" s="3" t="s">
        <v>445</v>
      </c>
      <c r="K73" s="5">
        <v>50.58</v>
      </c>
      <c r="L73" s="5">
        <v>0.14000000000000001</v>
      </c>
      <c r="M73" s="5">
        <v>4.88</v>
      </c>
      <c r="N73" s="5">
        <v>7.86</v>
      </c>
      <c r="O73" s="5">
        <v>3.77</v>
      </c>
      <c r="P73" s="5">
        <v>2.15</v>
      </c>
      <c r="Q73" s="5">
        <v>0</v>
      </c>
      <c r="R73" s="5">
        <v>185</v>
      </c>
      <c r="W73" s="5">
        <v>33.200000000000003</v>
      </c>
      <c r="X73" s="5">
        <v>809</v>
      </c>
      <c r="Y73" s="5">
        <v>4.4800000000000004</v>
      </c>
      <c r="Z73" s="5">
        <v>3.59</v>
      </c>
      <c r="AA73" s="5">
        <v>0.72</v>
      </c>
      <c r="AB73" s="5">
        <v>34.799999999999997</v>
      </c>
      <c r="AC73" s="5">
        <v>2.09</v>
      </c>
      <c r="AD73" s="5">
        <v>32.700000000000003</v>
      </c>
      <c r="AE73" s="5">
        <v>67.2</v>
      </c>
      <c r="AH73" s="5">
        <v>1.54</v>
      </c>
      <c r="AI73" s="5">
        <v>677</v>
      </c>
      <c r="AJ73" s="5">
        <v>21.1</v>
      </c>
      <c r="AK73" s="5">
        <v>236</v>
      </c>
      <c r="AL73" s="5">
        <v>5.67</v>
      </c>
      <c r="AM73" s="5">
        <v>18997.810000000001</v>
      </c>
      <c r="AN73" s="5">
        <v>2662.04</v>
      </c>
      <c r="AO73" s="5">
        <v>1.357142857142857</v>
      </c>
      <c r="AP73" s="5">
        <v>11.18</v>
      </c>
      <c r="AQ73" s="5">
        <v>9.69</v>
      </c>
      <c r="AR73" s="5">
        <v>1.06</v>
      </c>
      <c r="AS73" s="5">
        <v>0.95</v>
      </c>
      <c r="AT73" s="5">
        <v>23.18</v>
      </c>
      <c r="AU73" s="5">
        <v>0.13</v>
      </c>
      <c r="AV73" s="5">
        <v>0.13</v>
      </c>
      <c r="AW73" s="5">
        <v>19.45</v>
      </c>
      <c r="AX73" s="5">
        <v>20.7</v>
      </c>
      <c r="AY73" s="5">
        <v>0.02</v>
      </c>
      <c r="BB73" s="5">
        <v>22.6</v>
      </c>
    </row>
    <row r="74" spans="1:54" x14ac:dyDescent="0.3">
      <c r="A74" s="1" t="s">
        <v>14</v>
      </c>
      <c r="B74" s="1" t="s">
        <v>15</v>
      </c>
      <c r="C74" s="1" t="s">
        <v>16</v>
      </c>
      <c r="D74" s="5">
        <v>42</v>
      </c>
      <c r="E74" s="5">
        <v>127</v>
      </c>
      <c r="F74" s="1" t="s">
        <v>17</v>
      </c>
      <c r="G74" s="5" t="s">
        <v>109</v>
      </c>
      <c r="H74" s="5" t="s">
        <v>107</v>
      </c>
      <c r="I74" s="6">
        <v>5.8116478612646461E-4</v>
      </c>
      <c r="J74" s="3" t="s">
        <v>445</v>
      </c>
      <c r="K74" s="5">
        <v>49.66</v>
      </c>
      <c r="L74" s="5">
        <v>0.14000000000000001</v>
      </c>
      <c r="M74" s="5">
        <v>4.57</v>
      </c>
      <c r="N74" s="5">
        <v>8.3699999999999992</v>
      </c>
      <c r="O74" s="5">
        <v>3.7</v>
      </c>
      <c r="P74" s="5">
        <v>2.15</v>
      </c>
      <c r="Q74" s="5">
        <v>0</v>
      </c>
      <c r="R74" s="5">
        <v>225</v>
      </c>
      <c r="W74" s="5">
        <v>36.6</v>
      </c>
      <c r="X74" s="5">
        <v>827</v>
      </c>
      <c r="Y74" s="5">
        <v>4.4400000000000004</v>
      </c>
      <c r="Z74" s="5">
        <v>3.86</v>
      </c>
      <c r="AA74" s="5">
        <v>0.54</v>
      </c>
      <c r="AB74" s="5">
        <v>38.6</v>
      </c>
      <c r="AC74" s="5">
        <v>2.31</v>
      </c>
      <c r="AD74" s="5">
        <v>32.700000000000003</v>
      </c>
      <c r="AE74" s="5">
        <v>67.5</v>
      </c>
      <c r="AH74" s="5">
        <v>1.47</v>
      </c>
      <c r="AI74" s="5">
        <v>725</v>
      </c>
      <c r="AJ74" s="5">
        <v>20.399999999999999</v>
      </c>
      <c r="AK74" s="5">
        <v>245</v>
      </c>
      <c r="AL74" s="5">
        <v>5.71</v>
      </c>
      <c r="AM74" s="5">
        <v>21574.799999999999</v>
      </c>
      <c r="AN74" s="5">
        <v>2880.24</v>
      </c>
      <c r="AO74" s="5">
        <v>1.5714285714285714</v>
      </c>
      <c r="AP74" s="5">
        <v>12.01</v>
      </c>
      <c r="AQ74" s="5">
        <v>10</v>
      </c>
      <c r="AR74" s="5">
        <v>1.18</v>
      </c>
      <c r="AS74" s="5">
        <v>0.95</v>
      </c>
      <c r="AT74" s="5">
        <v>24.61</v>
      </c>
      <c r="AU74" s="5">
        <v>0.12</v>
      </c>
      <c r="AV74" s="5">
        <v>0.13</v>
      </c>
      <c r="AW74" s="5">
        <v>18.78</v>
      </c>
      <c r="AX74" s="5">
        <v>22.17</v>
      </c>
      <c r="AY74" s="5">
        <v>0.01</v>
      </c>
      <c r="BB74" s="5">
        <v>26.26</v>
      </c>
    </row>
    <row r="75" spans="1:54" x14ac:dyDescent="0.3">
      <c r="A75" s="1" t="s">
        <v>14</v>
      </c>
      <c r="B75" s="1" t="s">
        <v>15</v>
      </c>
      <c r="C75" s="1" t="s">
        <v>16</v>
      </c>
      <c r="D75" s="5">
        <v>42</v>
      </c>
      <c r="E75" s="5">
        <v>127</v>
      </c>
      <c r="F75" s="1" t="s">
        <v>17</v>
      </c>
      <c r="G75" s="5" t="s">
        <v>110</v>
      </c>
      <c r="H75" s="5" t="s">
        <v>107</v>
      </c>
      <c r="I75" s="6">
        <v>7.3686125688254833E-4</v>
      </c>
      <c r="J75" s="3" t="s">
        <v>445</v>
      </c>
      <c r="K75" s="5">
        <v>49.32</v>
      </c>
      <c r="L75" s="5">
        <v>0.16</v>
      </c>
      <c r="M75" s="5">
        <v>5.57</v>
      </c>
      <c r="N75" s="5">
        <v>7.06</v>
      </c>
      <c r="O75" s="5">
        <v>3.54</v>
      </c>
      <c r="P75" s="5">
        <v>2.91</v>
      </c>
      <c r="Q75" s="5">
        <v>0</v>
      </c>
      <c r="R75" s="5">
        <v>168</v>
      </c>
      <c r="W75" s="5">
        <v>41.5</v>
      </c>
      <c r="X75" s="5">
        <v>849</v>
      </c>
      <c r="Y75" s="5">
        <v>6.23</v>
      </c>
      <c r="Z75" s="5">
        <v>4.29</v>
      </c>
      <c r="AA75" s="5">
        <v>0.87</v>
      </c>
      <c r="AB75" s="5">
        <v>38.700000000000003</v>
      </c>
      <c r="AC75" s="5">
        <v>2.29</v>
      </c>
      <c r="AD75" s="5">
        <v>40.1</v>
      </c>
      <c r="AE75" s="5">
        <v>81.7</v>
      </c>
      <c r="AH75" s="5">
        <v>1.69</v>
      </c>
      <c r="AI75" s="5">
        <v>1097</v>
      </c>
      <c r="AJ75" s="5">
        <v>21.4</v>
      </c>
      <c r="AK75" s="5">
        <v>225</v>
      </c>
      <c r="AL75" s="5">
        <v>5.21</v>
      </c>
      <c r="AM75" s="5">
        <v>16300.96</v>
      </c>
      <c r="AN75" s="5">
        <v>4014.88</v>
      </c>
      <c r="AO75" s="5">
        <v>1.3550295857988166</v>
      </c>
      <c r="AP75" s="5">
        <v>10.51</v>
      </c>
      <c r="AQ75" s="5">
        <v>9.02</v>
      </c>
      <c r="AR75" s="5">
        <v>0.97</v>
      </c>
      <c r="AS75" s="5">
        <v>1.07</v>
      </c>
      <c r="AT75" s="5">
        <v>21.6</v>
      </c>
      <c r="AU75" s="5">
        <v>0.16</v>
      </c>
      <c r="AV75" s="5">
        <v>0.16</v>
      </c>
      <c r="AW75" s="5">
        <v>28.35</v>
      </c>
      <c r="AX75" s="5">
        <v>27.36</v>
      </c>
      <c r="AY75" s="5">
        <v>0.02</v>
      </c>
      <c r="BB75" s="5">
        <v>22.9</v>
      </c>
    </row>
    <row r="76" spans="1:54" x14ac:dyDescent="0.3">
      <c r="A76" s="1" t="s">
        <v>14</v>
      </c>
      <c r="B76" s="1" t="s">
        <v>15</v>
      </c>
      <c r="C76" s="1" t="s">
        <v>16</v>
      </c>
      <c r="D76" s="5">
        <v>42</v>
      </c>
      <c r="E76" s="5">
        <v>127</v>
      </c>
      <c r="F76" s="1" t="s">
        <v>17</v>
      </c>
      <c r="G76" s="5" t="s">
        <v>111</v>
      </c>
      <c r="H76" s="5" t="s">
        <v>107</v>
      </c>
      <c r="I76" s="6">
        <v>1.3592111645266409E-3</v>
      </c>
      <c r="J76" s="3" t="s">
        <v>445</v>
      </c>
      <c r="K76" s="5">
        <v>48.96</v>
      </c>
      <c r="L76" s="5">
        <v>0.17</v>
      </c>
      <c r="M76" s="5">
        <v>4.41</v>
      </c>
      <c r="N76" s="5">
        <v>7.07</v>
      </c>
      <c r="O76" s="5">
        <v>3.79</v>
      </c>
      <c r="P76" s="5">
        <v>2.34</v>
      </c>
      <c r="Q76" s="5">
        <v>0</v>
      </c>
      <c r="R76" s="5">
        <v>232</v>
      </c>
      <c r="W76" s="5">
        <v>42.1</v>
      </c>
      <c r="X76" s="5">
        <v>721</v>
      </c>
      <c r="Y76" s="5">
        <v>5.54</v>
      </c>
      <c r="Z76" s="5">
        <v>4.75</v>
      </c>
      <c r="AA76" s="5">
        <v>0.83</v>
      </c>
      <c r="AB76" s="5">
        <v>41.9</v>
      </c>
      <c r="AC76" s="5">
        <v>2.5099999999999998</v>
      </c>
      <c r="AD76" s="5">
        <v>39.299999999999997</v>
      </c>
      <c r="AE76" s="5">
        <v>80.7</v>
      </c>
      <c r="AH76" s="5">
        <v>2.16</v>
      </c>
      <c r="AI76" s="5">
        <v>743</v>
      </c>
      <c r="AJ76" s="5">
        <v>26</v>
      </c>
      <c r="AK76" s="5">
        <v>261</v>
      </c>
      <c r="AL76" s="5">
        <v>6.31</v>
      </c>
      <c r="AM76" s="5">
        <v>19237.53</v>
      </c>
      <c r="AN76" s="5">
        <v>2749.32</v>
      </c>
      <c r="AO76" s="5">
        <v>1.1620370370370368</v>
      </c>
      <c r="AP76" s="5">
        <v>10.039999999999999</v>
      </c>
      <c r="AQ76" s="5">
        <v>8.82</v>
      </c>
      <c r="AR76" s="5">
        <v>1.07</v>
      </c>
      <c r="AS76" s="5">
        <v>1</v>
      </c>
      <c r="AT76" s="5">
        <v>18.489999999999998</v>
      </c>
      <c r="AU76" s="5">
        <v>0.13</v>
      </c>
      <c r="AV76" s="5">
        <v>0.14000000000000001</v>
      </c>
      <c r="AW76" s="5">
        <v>17.73</v>
      </c>
      <c r="AX76" s="5">
        <v>18.91</v>
      </c>
      <c r="AY76" s="5">
        <v>0.02</v>
      </c>
      <c r="BB76" s="5">
        <v>19.399999999999999</v>
      </c>
    </row>
    <row r="77" spans="1:54" x14ac:dyDescent="0.3">
      <c r="A77" s="1" t="s">
        <v>14</v>
      </c>
      <c r="B77" s="1" t="s">
        <v>15</v>
      </c>
      <c r="C77" s="1" t="s">
        <v>16</v>
      </c>
      <c r="D77" s="5">
        <v>42</v>
      </c>
      <c r="E77" s="5">
        <v>127</v>
      </c>
      <c r="F77" s="1" t="s">
        <v>17</v>
      </c>
      <c r="G77" s="5" t="s">
        <v>112</v>
      </c>
      <c r="H77" s="5" t="s">
        <v>107</v>
      </c>
      <c r="I77" s="6">
        <v>6.0990365454927087E-4</v>
      </c>
      <c r="J77" s="3" t="s">
        <v>445</v>
      </c>
      <c r="K77" s="5">
        <v>47.16</v>
      </c>
      <c r="L77" s="5">
        <v>0.15</v>
      </c>
      <c r="M77" s="5">
        <v>7.13</v>
      </c>
      <c r="N77" s="5">
        <v>8.8800000000000008</v>
      </c>
      <c r="O77" s="5">
        <v>2.71</v>
      </c>
      <c r="P77" s="5">
        <v>1.9</v>
      </c>
      <c r="Q77" s="5">
        <v>0</v>
      </c>
      <c r="R77" s="5">
        <v>249</v>
      </c>
      <c r="W77" s="5">
        <v>29.3</v>
      </c>
      <c r="X77" s="5">
        <v>840</v>
      </c>
      <c r="Y77" s="5">
        <v>3.39</v>
      </c>
      <c r="Z77" s="5">
        <v>3.76</v>
      </c>
      <c r="AA77" s="5">
        <v>0.76</v>
      </c>
      <c r="AB77" s="5">
        <v>38.700000000000003</v>
      </c>
      <c r="AC77" s="5">
        <v>2.36</v>
      </c>
      <c r="AD77" s="5">
        <v>35.700000000000003</v>
      </c>
      <c r="AE77" s="5">
        <v>73.8</v>
      </c>
      <c r="AH77" s="5">
        <v>1.78</v>
      </c>
      <c r="AI77" s="5">
        <v>611</v>
      </c>
      <c r="AJ77" s="5">
        <v>23</v>
      </c>
      <c r="AK77" s="5">
        <v>243</v>
      </c>
      <c r="AL77" s="5">
        <v>5.78</v>
      </c>
      <c r="AM77" s="5">
        <v>20016.62</v>
      </c>
      <c r="AN77" s="5">
        <v>2356.56</v>
      </c>
      <c r="AO77" s="5">
        <v>1.3258426966292134</v>
      </c>
      <c r="AP77" s="5">
        <v>10.57</v>
      </c>
      <c r="AQ77" s="5">
        <v>10.29</v>
      </c>
      <c r="AR77" s="5">
        <v>1.08</v>
      </c>
      <c r="AS77" s="5">
        <v>0.76</v>
      </c>
      <c r="AT77" s="5">
        <v>22.28</v>
      </c>
      <c r="AU77" s="5">
        <v>0.09</v>
      </c>
      <c r="AV77" s="5">
        <v>0.09</v>
      </c>
      <c r="AW77" s="5">
        <v>15.79</v>
      </c>
      <c r="AX77" s="5">
        <v>17.11</v>
      </c>
      <c r="AY77" s="5">
        <v>0.02</v>
      </c>
      <c r="BB77" s="5">
        <v>21.74</v>
      </c>
    </row>
    <row r="78" spans="1:54" x14ac:dyDescent="0.3">
      <c r="A78" s="1" t="s">
        <v>14</v>
      </c>
      <c r="B78" s="1" t="s">
        <v>15</v>
      </c>
      <c r="C78" s="1" t="s">
        <v>16</v>
      </c>
      <c r="D78" s="5">
        <v>42</v>
      </c>
      <c r="E78" s="5">
        <v>127</v>
      </c>
      <c r="F78" s="1" t="s">
        <v>17</v>
      </c>
      <c r="G78" s="5" t="s">
        <v>113</v>
      </c>
      <c r="H78" s="5" t="s">
        <v>107</v>
      </c>
      <c r="I78" s="6">
        <v>4.6751985792070633E-4</v>
      </c>
      <c r="J78" s="3" t="s">
        <v>445</v>
      </c>
      <c r="K78" s="5">
        <v>50.23</v>
      </c>
      <c r="L78" s="5">
        <v>0.16</v>
      </c>
      <c r="M78" s="5">
        <v>3.19</v>
      </c>
      <c r="N78" s="5">
        <v>5.76</v>
      </c>
      <c r="O78" s="5">
        <v>4.25</v>
      </c>
      <c r="P78" s="5">
        <v>3.03</v>
      </c>
      <c r="Q78" s="5">
        <v>0</v>
      </c>
      <c r="R78" s="5">
        <v>121</v>
      </c>
      <c r="W78" s="5">
        <v>63.4</v>
      </c>
      <c r="X78" s="5">
        <v>707</v>
      </c>
      <c r="Y78" s="5">
        <v>7.72</v>
      </c>
      <c r="Z78" s="5">
        <v>6.86</v>
      </c>
      <c r="AA78" s="5">
        <v>1.41</v>
      </c>
      <c r="AB78" s="5">
        <v>56.6</v>
      </c>
      <c r="AC78" s="5">
        <v>3.26</v>
      </c>
      <c r="AD78" s="5">
        <v>57.2</v>
      </c>
      <c r="AE78" s="5">
        <v>116</v>
      </c>
      <c r="AH78" s="5">
        <v>2.66</v>
      </c>
      <c r="AI78" s="5">
        <v>1091</v>
      </c>
      <c r="AJ78" s="5">
        <v>32.200000000000003</v>
      </c>
      <c r="AK78" s="5">
        <v>357</v>
      </c>
      <c r="AL78" s="5">
        <v>7.77</v>
      </c>
      <c r="AM78" s="5">
        <v>15641.73</v>
      </c>
      <c r="AN78" s="5">
        <v>4364</v>
      </c>
      <c r="AO78" s="5">
        <v>1.225563909774436</v>
      </c>
      <c r="AP78" s="5">
        <v>11.09</v>
      </c>
      <c r="AQ78" s="5">
        <v>8.25</v>
      </c>
      <c r="AR78" s="5">
        <v>0.99</v>
      </c>
      <c r="AS78" s="5">
        <v>1.1200000000000001</v>
      </c>
      <c r="AT78" s="5">
        <v>13.17</v>
      </c>
      <c r="AU78" s="5">
        <v>0.14000000000000001</v>
      </c>
      <c r="AV78" s="5">
        <v>0.14000000000000001</v>
      </c>
      <c r="AW78" s="5">
        <v>19.28</v>
      </c>
      <c r="AX78" s="5">
        <v>19.07</v>
      </c>
      <c r="AY78" s="5">
        <v>0.02</v>
      </c>
      <c r="BB78" s="5">
        <v>21.28</v>
      </c>
    </row>
    <row r="79" spans="1:54" x14ac:dyDescent="0.3">
      <c r="A79" s="1" t="s">
        <v>14</v>
      </c>
      <c r="B79" s="1" t="s">
        <v>15</v>
      </c>
      <c r="C79" s="1" t="s">
        <v>16</v>
      </c>
      <c r="D79" s="5">
        <v>42</v>
      </c>
      <c r="E79" s="5">
        <v>127</v>
      </c>
      <c r="F79" s="1" t="s">
        <v>17</v>
      </c>
      <c r="G79" s="5" t="s">
        <v>114</v>
      </c>
      <c r="H79" s="5" t="s">
        <v>107</v>
      </c>
      <c r="I79" s="6">
        <v>4.6858303248882294E-3</v>
      </c>
      <c r="J79" s="3" t="s">
        <v>445</v>
      </c>
      <c r="K79" s="5">
        <v>50.8</v>
      </c>
      <c r="L79" s="5">
        <v>0.15</v>
      </c>
      <c r="M79" s="5">
        <v>7.78</v>
      </c>
      <c r="N79" s="5">
        <v>8.84</v>
      </c>
      <c r="O79" s="5">
        <v>3.08</v>
      </c>
      <c r="P79" s="5">
        <v>0.76</v>
      </c>
      <c r="Q79" s="5">
        <v>0</v>
      </c>
      <c r="R79" s="5">
        <v>174</v>
      </c>
      <c r="W79" s="5">
        <v>11.2</v>
      </c>
      <c r="X79" s="5">
        <v>397</v>
      </c>
      <c r="Y79" s="5">
        <v>2.8</v>
      </c>
      <c r="Z79" s="5">
        <v>1.61</v>
      </c>
      <c r="AA79" s="5">
        <v>0.34</v>
      </c>
      <c r="AB79" s="5">
        <v>12.8</v>
      </c>
      <c r="AC79" s="5">
        <v>0.76</v>
      </c>
      <c r="AD79" s="5">
        <v>12.6</v>
      </c>
      <c r="AE79" s="5">
        <v>25.1</v>
      </c>
      <c r="AH79" s="5">
        <v>1.48</v>
      </c>
      <c r="AI79" s="5">
        <v>259</v>
      </c>
      <c r="AJ79" s="5">
        <v>17.2</v>
      </c>
      <c r="AK79" s="5">
        <v>96.9</v>
      </c>
      <c r="AL79" s="5">
        <v>2.62</v>
      </c>
      <c r="AM79" s="5">
        <v>9169.2900000000009</v>
      </c>
      <c r="AN79" s="5">
        <v>916.44</v>
      </c>
      <c r="AO79" s="5">
        <v>0.51351351351351349</v>
      </c>
      <c r="AP79" s="5">
        <v>5.63</v>
      </c>
      <c r="AQ79" s="5">
        <v>7.95</v>
      </c>
      <c r="AR79" s="5">
        <v>1.02</v>
      </c>
      <c r="AS79" s="5">
        <v>0.88</v>
      </c>
      <c r="AT79" s="5">
        <v>27.57</v>
      </c>
      <c r="AU79" s="5">
        <v>0.22</v>
      </c>
      <c r="AV79" s="5">
        <v>0.19</v>
      </c>
      <c r="AW79" s="5">
        <v>20.23</v>
      </c>
      <c r="AX79" s="5">
        <v>20.56</v>
      </c>
      <c r="AY79" s="5">
        <v>0.03</v>
      </c>
      <c r="BB79" s="5">
        <v>8.65</v>
      </c>
    </row>
    <row r="80" spans="1:54" x14ac:dyDescent="0.3">
      <c r="A80" s="1" t="s">
        <v>14</v>
      </c>
      <c r="B80" s="1" t="s">
        <v>15</v>
      </c>
      <c r="C80" s="1" t="s">
        <v>16</v>
      </c>
      <c r="D80" s="5">
        <v>42</v>
      </c>
      <c r="E80" s="5">
        <v>127</v>
      </c>
      <c r="F80" s="1" t="s">
        <v>17</v>
      </c>
      <c r="G80" s="5" t="s">
        <v>115</v>
      </c>
      <c r="H80" s="5" t="s">
        <v>107</v>
      </c>
      <c r="I80" s="6">
        <v>0.12519711256027219</v>
      </c>
      <c r="J80" s="3" t="s">
        <v>445</v>
      </c>
      <c r="K80" s="5">
        <v>51.14</v>
      </c>
      <c r="L80" s="5">
        <v>0.15</v>
      </c>
      <c r="M80" s="5">
        <v>5.39</v>
      </c>
      <c r="N80" s="5">
        <v>8.43</v>
      </c>
      <c r="O80" s="5">
        <v>3.35</v>
      </c>
      <c r="P80" s="5">
        <v>1.55</v>
      </c>
      <c r="Q80" s="5">
        <v>0</v>
      </c>
      <c r="R80" s="5">
        <v>215</v>
      </c>
      <c r="W80" s="5">
        <v>27.3</v>
      </c>
      <c r="X80" s="5">
        <v>544</v>
      </c>
      <c r="Y80" s="5">
        <v>3.77</v>
      </c>
      <c r="Z80" s="5">
        <v>2.46</v>
      </c>
      <c r="AA80" s="5">
        <v>0.5</v>
      </c>
      <c r="AB80" s="5">
        <v>22.3</v>
      </c>
      <c r="AC80" s="5">
        <v>1.32</v>
      </c>
      <c r="AD80" s="5">
        <v>22</v>
      </c>
      <c r="AE80" s="5">
        <v>46</v>
      </c>
      <c r="AH80" s="5">
        <v>1.83</v>
      </c>
      <c r="AI80" s="5">
        <v>567</v>
      </c>
      <c r="AJ80" s="5">
        <v>22</v>
      </c>
      <c r="AK80" s="5">
        <v>172</v>
      </c>
      <c r="AL80" s="5">
        <v>4.37</v>
      </c>
      <c r="AM80" s="5">
        <v>16121.17</v>
      </c>
      <c r="AN80" s="5">
        <v>1832.88</v>
      </c>
      <c r="AO80" s="5">
        <v>0.72131147540983609</v>
      </c>
      <c r="AP80" s="5">
        <v>7.82</v>
      </c>
      <c r="AQ80" s="5">
        <v>9.07</v>
      </c>
      <c r="AR80" s="5">
        <v>1.01</v>
      </c>
      <c r="AS80" s="5">
        <v>1.22</v>
      </c>
      <c r="AT80" s="5">
        <v>21.42</v>
      </c>
      <c r="AU80" s="5">
        <v>0.17</v>
      </c>
      <c r="AV80" s="5">
        <v>0.15</v>
      </c>
      <c r="AW80" s="5">
        <v>25.43</v>
      </c>
      <c r="AX80" s="5">
        <v>25.77</v>
      </c>
      <c r="AY80" s="5">
        <v>0.02</v>
      </c>
      <c r="BB80" s="5">
        <v>12.19</v>
      </c>
    </row>
    <row r="81" spans="1:54" x14ac:dyDescent="0.3">
      <c r="A81" s="1" t="s">
        <v>14</v>
      </c>
      <c r="B81" s="1" t="s">
        <v>15</v>
      </c>
      <c r="C81" s="1" t="s">
        <v>16</v>
      </c>
      <c r="D81" s="5">
        <v>42</v>
      </c>
      <c r="E81" s="5">
        <v>127</v>
      </c>
      <c r="F81" s="1" t="s">
        <v>17</v>
      </c>
      <c r="G81" s="5" t="s">
        <v>116</v>
      </c>
      <c r="H81" s="5" t="s">
        <v>107</v>
      </c>
      <c r="I81" s="6">
        <v>2.0234575495123859E-3</v>
      </c>
      <c r="J81" s="3" t="s">
        <v>445</v>
      </c>
      <c r="K81" s="5">
        <v>46.18</v>
      </c>
      <c r="L81" s="5">
        <v>0.19</v>
      </c>
      <c r="M81" s="5">
        <v>4.41</v>
      </c>
      <c r="N81" s="5">
        <v>8.44</v>
      </c>
      <c r="O81" s="5">
        <v>2.93</v>
      </c>
      <c r="P81" s="5">
        <v>0.74</v>
      </c>
      <c r="Q81" s="5">
        <v>0</v>
      </c>
      <c r="R81" s="5">
        <v>292</v>
      </c>
      <c r="W81" s="5">
        <v>25.1</v>
      </c>
      <c r="X81" s="5">
        <v>545</v>
      </c>
      <c r="Y81" s="5">
        <v>4.18</v>
      </c>
      <c r="Z81" s="5">
        <v>2.4700000000000002</v>
      </c>
      <c r="AA81" s="5">
        <v>0.47</v>
      </c>
      <c r="AB81" s="5">
        <v>22.9</v>
      </c>
      <c r="AC81" s="5">
        <v>1.41</v>
      </c>
      <c r="AD81" s="5">
        <v>24.7</v>
      </c>
      <c r="AE81" s="5">
        <v>53.3</v>
      </c>
      <c r="AH81" s="5">
        <v>2.31</v>
      </c>
      <c r="AI81" s="5">
        <v>627</v>
      </c>
      <c r="AJ81" s="5">
        <v>30</v>
      </c>
      <c r="AK81" s="5">
        <v>195</v>
      </c>
      <c r="AL81" s="5">
        <v>4.93</v>
      </c>
      <c r="AM81" s="5">
        <v>24571.3</v>
      </c>
      <c r="AN81" s="5">
        <v>3098.44</v>
      </c>
      <c r="AO81" s="5">
        <v>0.61038961038961037</v>
      </c>
      <c r="AP81" s="5">
        <v>6.5</v>
      </c>
      <c r="AQ81" s="5">
        <v>9.27</v>
      </c>
      <c r="AR81" s="5">
        <v>0.93</v>
      </c>
      <c r="AS81" s="5">
        <v>1.1000000000000001</v>
      </c>
      <c r="AT81" s="5">
        <v>15.66</v>
      </c>
      <c r="AU81" s="5">
        <v>0.18</v>
      </c>
      <c r="AV81" s="5">
        <v>0.12</v>
      </c>
      <c r="AW81" s="5">
        <v>27.38</v>
      </c>
      <c r="AX81" s="5">
        <v>25.38</v>
      </c>
      <c r="AY81" s="5">
        <v>0.02</v>
      </c>
      <c r="BB81" s="5">
        <v>9.91</v>
      </c>
    </row>
    <row r="82" spans="1:54" x14ac:dyDescent="0.3">
      <c r="A82" s="1" t="s">
        <v>14</v>
      </c>
      <c r="B82" s="1" t="s">
        <v>15</v>
      </c>
      <c r="C82" s="1" t="s">
        <v>16</v>
      </c>
      <c r="D82" s="5">
        <v>42</v>
      </c>
      <c r="E82" s="5">
        <v>127</v>
      </c>
      <c r="F82" s="1" t="s">
        <v>17</v>
      </c>
      <c r="G82" s="5" t="s">
        <v>117</v>
      </c>
      <c r="H82" s="5" t="s">
        <v>107</v>
      </c>
      <c r="I82" s="6">
        <v>2.3720238823443651E-3</v>
      </c>
      <c r="J82" s="3" t="s">
        <v>445</v>
      </c>
      <c r="K82" s="5">
        <v>49.05</v>
      </c>
      <c r="L82" s="5">
        <v>0.16</v>
      </c>
      <c r="M82" s="5">
        <v>4.16</v>
      </c>
      <c r="N82" s="5">
        <v>8.2100000000000009</v>
      </c>
      <c r="O82" s="5">
        <v>2.94</v>
      </c>
      <c r="P82" s="5">
        <v>1.33</v>
      </c>
      <c r="Q82" s="5">
        <v>0</v>
      </c>
      <c r="R82" s="5">
        <v>292</v>
      </c>
      <c r="W82" s="5">
        <v>19</v>
      </c>
      <c r="X82" s="5">
        <v>533</v>
      </c>
      <c r="Y82" s="5">
        <v>3.85</v>
      </c>
      <c r="Z82" s="5">
        <v>2.5099999999999998</v>
      </c>
      <c r="AA82" s="5">
        <v>0.44</v>
      </c>
      <c r="AB82" s="5">
        <v>23.3</v>
      </c>
      <c r="AC82" s="5">
        <v>1.46</v>
      </c>
      <c r="AD82" s="5">
        <v>24.4</v>
      </c>
      <c r="AE82" s="5">
        <v>53.7</v>
      </c>
      <c r="AH82" s="5">
        <v>2.3199999999999998</v>
      </c>
      <c r="AI82" s="5">
        <v>535</v>
      </c>
      <c r="AJ82" s="5">
        <v>30.8</v>
      </c>
      <c r="AK82" s="5">
        <v>196</v>
      </c>
      <c r="AL82" s="5">
        <v>5.12</v>
      </c>
      <c r="AM82" s="5">
        <v>24031.93</v>
      </c>
      <c r="AN82" s="5">
        <v>3273</v>
      </c>
      <c r="AO82" s="5">
        <v>0.62931034482758619</v>
      </c>
      <c r="AP82" s="5">
        <v>6.36</v>
      </c>
      <c r="AQ82" s="5">
        <v>9.2799999999999994</v>
      </c>
      <c r="AR82" s="5">
        <v>0.95</v>
      </c>
      <c r="AS82" s="5">
        <v>0.82</v>
      </c>
      <c r="AT82" s="5">
        <v>15.19</v>
      </c>
      <c r="AU82" s="5">
        <v>0.17</v>
      </c>
      <c r="AV82" s="5">
        <v>0.11</v>
      </c>
      <c r="AW82" s="5">
        <v>22.96</v>
      </c>
      <c r="AX82" s="5">
        <v>21.93</v>
      </c>
      <c r="AY82" s="5">
        <v>0.02</v>
      </c>
      <c r="BB82" s="5">
        <v>10.039999999999999</v>
      </c>
    </row>
    <row r="83" spans="1:54" x14ac:dyDescent="0.3">
      <c r="A83" s="1" t="s">
        <v>14</v>
      </c>
      <c r="B83" s="1" t="s">
        <v>15</v>
      </c>
      <c r="C83" s="1" t="s">
        <v>16</v>
      </c>
      <c r="D83" s="5">
        <v>42</v>
      </c>
      <c r="E83" s="5">
        <v>127</v>
      </c>
      <c r="F83" s="1" t="s">
        <v>17</v>
      </c>
      <c r="G83" s="5" t="s">
        <v>118</v>
      </c>
      <c r="H83" s="5" t="s">
        <v>107</v>
      </c>
      <c r="I83" s="6">
        <v>4.6664971858263023E-2</v>
      </c>
      <c r="J83" s="3" t="s">
        <v>445</v>
      </c>
      <c r="K83" s="5">
        <v>51.83</v>
      </c>
      <c r="L83" s="5">
        <v>0.13</v>
      </c>
      <c r="M83" s="5">
        <v>4.18</v>
      </c>
      <c r="N83" s="5">
        <v>7.68</v>
      </c>
      <c r="O83" s="5">
        <v>3.57</v>
      </c>
      <c r="P83" s="5">
        <v>1.53</v>
      </c>
      <c r="Q83" s="5">
        <v>0</v>
      </c>
      <c r="R83" s="5">
        <v>182</v>
      </c>
      <c r="W83" s="5">
        <v>24.7</v>
      </c>
      <c r="X83" s="5">
        <v>572</v>
      </c>
      <c r="Y83" s="5">
        <v>5.03</v>
      </c>
      <c r="Z83" s="5">
        <v>2.9</v>
      </c>
      <c r="AA83" s="5">
        <v>0.57999999999999996</v>
      </c>
      <c r="AB83" s="5">
        <v>24</v>
      </c>
      <c r="AC83" s="5">
        <v>1.46</v>
      </c>
      <c r="AD83" s="5">
        <v>23.4</v>
      </c>
      <c r="AE83" s="5">
        <v>49.7</v>
      </c>
      <c r="AH83" s="5">
        <v>2.11</v>
      </c>
      <c r="AI83" s="5">
        <v>564</v>
      </c>
      <c r="AJ83" s="5">
        <v>25.7</v>
      </c>
      <c r="AK83" s="5">
        <v>210</v>
      </c>
      <c r="AL83" s="5">
        <v>5.45</v>
      </c>
      <c r="AM83" s="5">
        <v>14682.85</v>
      </c>
      <c r="AN83" s="5">
        <v>2225.64</v>
      </c>
      <c r="AO83" s="5">
        <v>0.69194312796208535</v>
      </c>
      <c r="AP83" s="5">
        <v>8.17</v>
      </c>
      <c r="AQ83" s="5">
        <v>8.2799999999999994</v>
      </c>
      <c r="AR83" s="5">
        <v>1.03</v>
      </c>
      <c r="AS83" s="5">
        <v>1.03</v>
      </c>
      <c r="AT83" s="5">
        <v>19.52</v>
      </c>
      <c r="AU83" s="5">
        <v>0.21</v>
      </c>
      <c r="AV83" s="5">
        <v>0.17</v>
      </c>
      <c r="AW83" s="5">
        <v>23.5</v>
      </c>
      <c r="AX83" s="5">
        <v>24.1</v>
      </c>
      <c r="AY83" s="5">
        <v>0.02</v>
      </c>
      <c r="BB83" s="5">
        <v>11.37</v>
      </c>
    </row>
    <row r="84" spans="1:54" x14ac:dyDescent="0.3">
      <c r="A84" s="1" t="s">
        <v>14</v>
      </c>
      <c r="B84" s="1" t="s">
        <v>15</v>
      </c>
      <c r="C84" s="1" t="s">
        <v>16</v>
      </c>
      <c r="D84" s="5">
        <v>42</v>
      </c>
      <c r="E84" s="5">
        <v>128</v>
      </c>
      <c r="F84" s="1" t="s">
        <v>17</v>
      </c>
      <c r="G84" s="5" t="s">
        <v>119</v>
      </c>
      <c r="H84" s="5" t="s">
        <v>107</v>
      </c>
      <c r="I84" s="6">
        <v>1.2995534052606669E-4</v>
      </c>
      <c r="J84" s="3" t="s">
        <v>445</v>
      </c>
      <c r="K84" s="5">
        <v>49.01</v>
      </c>
      <c r="L84" s="5">
        <v>0.15</v>
      </c>
      <c r="M84" s="5">
        <v>8.99</v>
      </c>
      <c r="N84" s="5">
        <v>8.7799999999999994</v>
      </c>
      <c r="O84" s="5">
        <v>3.38</v>
      </c>
      <c r="P84" s="5">
        <v>2.41</v>
      </c>
      <c r="Q84" s="5">
        <v>0</v>
      </c>
      <c r="R84" s="5">
        <v>217</v>
      </c>
      <c r="W84" s="5">
        <v>37</v>
      </c>
      <c r="X84" s="5">
        <v>766</v>
      </c>
      <c r="Y84" s="5">
        <v>5.42</v>
      </c>
      <c r="Z84" s="5">
        <v>3.89</v>
      </c>
      <c r="AA84" s="5">
        <v>0.79</v>
      </c>
      <c r="AB84" s="5">
        <v>38.200000000000003</v>
      </c>
      <c r="AC84" s="5">
        <v>2.3199999999999998</v>
      </c>
      <c r="AD84" s="5">
        <v>35.799999999999997</v>
      </c>
      <c r="AE84" s="5">
        <v>72.8</v>
      </c>
      <c r="AH84" s="5">
        <v>1.61</v>
      </c>
      <c r="AI84" s="5">
        <v>525</v>
      </c>
      <c r="AJ84" s="5">
        <v>20.6</v>
      </c>
      <c r="AK84" s="5">
        <v>223</v>
      </c>
      <c r="AL84" s="5">
        <v>5.07</v>
      </c>
      <c r="AM84" s="5">
        <v>8150.48</v>
      </c>
      <c r="AN84" s="5">
        <v>1963.8</v>
      </c>
      <c r="AO84" s="5">
        <v>1.4409937888198756</v>
      </c>
      <c r="AP84" s="5">
        <v>10.83</v>
      </c>
      <c r="AQ84" s="5">
        <v>9.82</v>
      </c>
      <c r="AR84" s="5">
        <v>1.07</v>
      </c>
      <c r="AS84" s="5">
        <v>0.97</v>
      </c>
      <c r="AT84" s="5">
        <v>21.34</v>
      </c>
      <c r="AU84" s="5">
        <v>0.14000000000000001</v>
      </c>
      <c r="AV84" s="5">
        <v>0.15</v>
      </c>
      <c r="AW84" s="5">
        <v>13.74</v>
      </c>
      <c r="AX84" s="5">
        <v>14.66</v>
      </c>
      <c r="AY84" s="5">
        <v>0.02</v>
      </c>
      <c r="BB84" s="5">
        <v>23.73</v>
      </c>
    </row>
    <row r="85" spans="1:54" x14ac:dyDescent="0.3">
      <c r="A85" s="1" t="s">
        <v>14</v>
      </c>
      <c r="B85" s="1" t="s">
        <v>15</v>
      </c>
      <c r="C85" s="1" t="s">
        <v>16</v>
      </c>
      <c r="D85" s="5">
        <v>42</v>
      </c>
      <c r="E85" s="5">
        <v>128.05000000000001</v>
      </c>
      <c r="F85" s="1" t="s">
        <v>17</v>
      </c>
      <c r="G85" s="5" t="s">
        <v>120</v>
      </c>
      <c r="H85" s="5" t="s">
        <v>121</v>
      </c>
      <c r="I85" s="6">
        <v>2.220875583589077E-2</v>
      </c>
      <c r="J85" s="3" t="s">
        <v>445</v>
      </c>
      <c r="K85" s="5">
        <v>50.11</v>
      </c>
      <c r="L85" s="5">
        <v>0.14000000000000001</v>
      </c>
      <c r="M85" s="5">
        <v>5.56</v>
      </c>
      <c r="N85" s="5">
        <v>8.59</v>
      </c>
      <c r="O85" s="5">
        <v>3.36</v>
      </c>
      <c r="P85" s="5">
        <v>1.03</v>
      </c>
      <c r="Q85" s="5">
        <v>17.5</v>
      </c>
      <c r="R85" s="5">
        <v>198</v>
      </c>
      <c r="W85" s="5">
        <v>23.5</v>
      </c>
      <c r="X85" s="5">
        <v>612</v>
      </c>
      <c r="Y85" s="5">
        <v>2.6</v>
      </c>
      <c r="Z85" s="5">
        <v>2.2000000000000002</v>
      </c>
      <c r="AA85" s="5">
        <v>0.5</v>
      </c>
      <c r="AB85" s="5">
        <v>24.3</v>
      </c>
      <c r="AC85" s="5">
        <v>1.6</v>
      </c>
      <c r="AD85" s="5">
        <v>20.9</v>
      </c>
      <c r="AE85" s="5">
        <v>47.3</v>
      </c>
      <c r="AH85" s="5">
        <v>1.7</v>
      </c>
      <c r="AI85" s="5">
        <v>473</v>
      </c>
      <c r="AJ85" s="5">
        <v>23.2</v>
      </c>
      <c r="AK85" s="5">
        <v>135</v>
      </c>
      <c r="AL85" s="5">
        <v>3.9</v>
      </c>
      <c r="AM85" s="5">
        <v>14982.5</v>
      </c>
      <c r="AN85" s="5">
        <v>2662.04</v>
      </c>
      <c r="AO85" s="5">
        <v>0.94117647058823539</v>
      </c>
      <c r="AP85" s="5">
        <v>5.82</v>
      </c>
      <c r="AQ85" s="5">
        <v>11.05</v>
      </c>
      <c r="AR85" s="5">
        <v>1.1599999999999999</v>
      </c>
      <c r="AS85" s="5">
        <v>0.97</v>
      </c>
      <c r="AT85" s="5">
        <v>22.58</v>
      </c>
      <c r="AU85" s="5">
        <v>0.11</v>
      </c>
      <c r="AV85" s="5">
        <v>0.1</v>
      </c>
      <c r="AW85" s="5">
        <v>19.47</v>
      </c>
      <c r="AX85" s="5">
        <v>22.63</v>
      </c>
      <c r="AY85" s="5">
        <v>0.02</v>
      </c>
      <c r="BB85" s="5">
        <v>14.29</v>
      </c>
    </row>
    <row r="86" spans="1:54" x14ac:dyDescent="0.3">
      <c r="A86" s="1" t="s">
        <v>14</v>
      </c>
      <c r="B86" s="1" t="s">
        <v>15</v>
      </c>
      <c r="C86" s="1" t="s">
        <v>16</v>
      </c>
      <c r="D86" s="5">
        <v>42</v>
      </c>
      <c r="E86" s="5">
        <v>128.05000000000001</v>
      </c>
      <c r="F86" s="1" t="s">
        <v>17</v>
      </c>
      <c r="G86" s="5" t="s">
        <v>122</v>
      </c>
      <c r="H86" s="5" t="s">
        <v>123</v>
      </c>
      <c r="I86" s="6">
        <v>3.0613652779720718E-4</v>
      </c>
      <c r="J86" s="3" t="s">
        <v>445</v>
      </c>
      <c r="K86" s="5">
        <v>48.3</v>
      </c>
      <c r="L86" s="5">
        <v>0.14000000000000001</v>
      </c>
      <c r="M86" s="5">
        <v>2.99</v>
      </c>
      <c r="N86" s="5">
        <v>7.57</v>
      </c>
      <c r="O86" s="5">
        <v>4.0199999999999996</v>
      </c>
      <c r="P86" s="5">
        <v>2.16</v>
      </c>
      <c r="Q86" s="5">
        <v>16.399999999999999</v>
      </c>
      <c r="R86" s="5">
        <v>207</v>
      </c>
      <c r="W86" s="5">
        <v>38.299999999999997</v>
      </c>
      <c r="X86" s="5">
        <v>703</v>
      </c>
      <c r="Y86" s="5">
        <v>5.4</v>
      </c>
      <c r="Z86" s="5">
        <v>4.5999999999999996</v>
      </c>
      <c r="AA86" s="5">
        <v>0.6</v>
      </c>
      <c r="AB86" s="5">
        <v>42.1</v>
      </c>
      <c r="AC86" s="5">
        <v>3</v>
      </c>
      <c r="AD86" s="5">
        <v>40.1</v>
      </c>
      <c r="AE86" s="5">
        <v>77.599999999999994</v>
      </c>
      <c r="AH86" s="5">
        <v>2</v>
      </c>
      <c r="AI86" s="5">
        <v>811</v>
      </c>
      <c r="AJ86" s="5">
        <v>27.8</v>
      </c>
      <c r="AK86" s="5">
        <v>251</v>
      </c>
      <c r="AL86" s="5">
        <v>7</v>
      </c>
      <c r="AM86" s="5">
        <v>21335.08</v>
      </c>
      <c r="AN86" s="5">
        <v>2618.4</v>
      </c>
      <c r="AO86" s="5">
        <v>1.5</v>
      </c>
      <c r="AP86" s="5">
        <v>9.0299999999999994</v>
      </c>
      <c r="AQ86" s="5">
        <v>9.15</v>
      </c>
      <c r="AR86" s="5">
        <v>1.05</v>
      </c>
      <c r="AS86" s="5">
        <v>0.91</v>
      </c>
      <c r="AT86" s="5">
        <v>16.16</v>
      </c>
      <c r="AU86" s="5">
        <v>0.13</v>
      </c>
      <c r="AV86" s="5">
        <v>0.12</v>
      </c>
      <c r="AW86" s="5">
        <v>19.260000000000002</v>
      </c>
      <c r="AX86" s="5">
        <v>20.22</v>
      </c>
      <c r="AY86" s="5">
        <v>0.01</v>
      </c>
      <c r="BB86" s="5">
        <v>21.05</v>
      </c>
    </row>
    <row r="87" spans="1:54" x14ac:dyDescent="0.3">
      <c r="A87" s="1" t="s">
        <v>14</v>
      </c>
      <c r="B87" s="1" t="s">
        <v>15</v>
      </c>
      <c r="C87" s="1" t="s">
        <v>16</v>
      </c>
      <c r="D87" s="5">
        <v>42.4</v>
      </c>
      <c r="E87" s="5">
        <v>126.4</v>
      </c>
      <c r="F87" s="1" t="s">
        <v>17</v>
      </c>
      <c r="G87" s="5" t="s">
        <v>124</v>
      </c>
      <c r="H87" s="5" t="s">
        <v>125</v>
      </c>
      <c r="I87" s="6">
        <v>1.9934683223254979E-5</v>
      </c>
      <c r="J87" s="3" t="s">
        <v>445</v>
      </c>
      <c r="K87" s="5">
        <v>47.45</v>
      </c>
      <c r="L87" s="5">
        <v>0.17</v>
      </c>
      <c r="M87" s="5">
        <v>7.43</v>
      </c>
      <c r="N87" s="5">
        <v>7.65</v>
      </c>
      <c r="O87" s="5">
        <v>3.97</v>
      </c>
      <c r="P87" s="5">
        <v>2.31</v>
      </c>
      <c r="Q87" s="5">
        <v>0</v>
      </c>
      <c r="R87" s="5">
        <v>0</v>
      </c>
      <c r="W87" s="5">
        <v>56</v>
      </c>
      <c r="X87" s="5">
        <v>795</v>
      </c>
      <c r="Y87" s="5">
        <v>4.3899999999999997</v>
      </c>
      <c r="Z87" s="5">
        <v>6.14</v>
      </c>
      <c r="AA87" s="5">
        <v>1.25</v>
      </c>
      <c r="AB87" s="5">
        <v>58.7</v>
      </c>
      <c r="AC87" s="5">
        <v>3.49</v>
      </c>
      <c r="AD87" s="5">
        <v>46.2</v>
      </c>
      <c r="AE87" s="5">
        <v>84.9</v>
      </c>
      <c r="AH87" s="5">
        <v>1.94</v>
      </c>
      <c r="AI87" s="5">
        <v>806</v>
      </c>
      <c r="AJ87" s="5">
        <v>23.8</v>
      </c>
      <c r="AK87" s="5">
        <v>208</v>
      </c>
      <c r="AL87" s="5">
        <v>5.12</v>
      </c>
      <c r="AM87" s="5">
        <v>15102.36</v>
      </c>
      <c r="AN87" s="5">
        <v>2487.48</v>
      </c>
      <c r="AO87" s="5">
        <v>1.7989690721649487</v>
      </c>
      <c r="AP87" s="5">
        <v>8.74</v>
      </c>
      <c r="AQ87" s="5">
        <v>9.56</v>
      </c>
      <c r="AR87" s="5">
        <v>1.27</v>
      </c>
      <c r="AS87" s="5">
        <v>0.95</v>
      </c>
      <c r="AT87" s="5">
        <v>22.21</v>
      </c>
      <c r="AU87" s="5">
        <v>7.0000000000000007E-2</v>
      </c>
      <c r="AV87" s="5">
        <v>0.12</v>
      </c>
      <c r="AW87" s="5">
        <v>13.73</v>
      </c>
      <c r="AX87" s="5">
        <v>17.45</v>
      </c>
      <c r="AY87" s="5">
        <v>0.02</v>
      </c>
      <c r="BB87" s="5">
        <v>30.26</v>
      </c>
    </row>
    <row r="88" spans="1:54" x14ac:dyDescent="0.3">
      <c r="A88" s="1" t="s">
        <v>14</v>
      </c>
      <c r="B88" s="1" t="s">
        <v>15</v>
      </c>
      <c r="C88" s="1" t="s">
        <v>16</v>
      </c>
      <c r="D88" s="5">
        <v>42.4</v>
      </c>
      <c r="E88" s="5">
        <v>126.4</v>
      </c>
      <c r="F88" s="1" t="s">
        <v>17</v>
      </c>
      <c r="G88" s="5" t="s">
        <v>126</v>
      </c>
      <c r="H88" s="5" t="s">
        <v>125</v>
      </c>
      <c r="I88" s="6">
        <v>5.0828390521928668E-4</v>
      </c>
      <c r="J88" s="3" t="s">
        <v>445</v>
      </c>
      <c r="K88" s="5">
        <v>49.76</v>
      </c>
      <c r="L88" s="5">
        <v>0.18</v>
      </c>
      <c r="M88" s="5">
        <v>4.46</v>
      </c>
      <c r="N88" s="5">
        <v>5.76</v>
      </c>
      <c r="O88" s="5">
        <v>4.25</v>
      </c>
      <c r="P88" s="5">
        <v>3.01</v>
      </c>
      <c r="Q88" s="5">
        <v>0</v>
      </c>
      <c r="R88" s="5">
        <v>0</v>
      </c>
      <c r="W88" s="5">
        <v>55.9</v>
      </c>
      <c r="X88" s="5">
        <v>711</v>
      </c>
      <c r="Y88" s="5">
        <v>4.79</v>
      </c>
      <c r="Z88" s="5">
        <v>5.65</v>
      </c>
      <c r="AA88" s="5">
        <v>1.1200000000000001</v>
      </c>
      <c r="AB88" s="5">
        <v>56.5</v>
      </c>
      <c r="AC88" s="5">
        <v>3.41</v>
      </c>
      <c r="AD88" s="5">
        <v>45.5</v>
      </c>
      <c r="AE88" s="5">
        <v>83.6</v>
      </c>
      <c r="AH88" s="5">
        <v>1.9</v>
      </c>
      <c r="AI88" s="5">
        <v>778</v>
      </c>
      <c r="AJ88" s="5">
        <v>24.3</v>
      </c>
      <c r="AK88" s="5">
        <v>213</v>
      </c>
      <c r="AL88" s="5">
        <v>5.18</v>
      </c>
      <c r="AM88" s="5">
        <v>11626.42</v>
      </c>
      <c r="AN88" s="5">
        <v>3840.32</v>
      </c>
      <c r="AO88" s="5">
        <v>1.7947368421052634</v>
      </c>
      <c r="AP88" s="5">
        <v>8.77</v>
      </c>
      <c r="AQ88" s="5">
        <v>10</v>
      </c>
      <c r="AR88" s="5">
        <v>1.24</v>
      </c>
      <c r="AS88" s="5">
        <v>0.99</v>
      </c>
      <c r="AT88" s="5">
        <v>20.14</v>
      </c>
      <c r="AU88" s="5">
        <v>0.08</v>
      </c>
      <c r="AV88" s="5">
        <v>0.14000000000000001</v>
      </c>
      <c r="AW88" s="5">
        <v>13.77</v>
      </c>
      <c r="AX88" s="5">
        <v>17.100000000000001</v>
      </c>
      <c r="AY88" s="5">
        <v>0.02</v>
      </c>
      <c r="BB88" s="5">
        <v>29.74</v>
      </c>
    </row>
    <row r="89" spans="1:54" x14ac:dyDescent="0.3">
      <c r="A89" s="1" t="s">
        <v>14</v>
      </c>
      <c r="B89" s="1" t="s">
        <v>15</v>
      </c>
      <c r="C89" s="1" t="s">
        <v>16</v>
      </c>
      <c r="D89" s="5">
        <v>42.4</v>
      </c>
      <c r="E89" s="5">
        <v>126.4</v>
      </c>
      <c r="F89" s="1" t="s">
        <v>17</v>
      </c>
      <c r="G89" s="5" t="s">
        <v>127</v>
      </c>
      <c r="H89" s="5" t="s">
        <v>125</v>
      </c>
      <c r="I89" s="6">
        <v>2.9125352739356462E-5</v>
      </c>
      <c r="J89" s="3" t="s">
        <v>445</v>
      </c>
      <c r="K89" s="5">
        <v>48.5</v>
      </c>
      <c r="L89" s="5">
        <v>0.19</v>
      </c>
      <c r="M89" s="5">
        <v>6.74</v>
      </c>
      <c r="N89" s="5">
        <v>8.01</v>
      </c>
      <c r="O89" s="5">
        <v>3.42</v>
      </c>
      <c r="P89" s="5">
        <v>2.29</v>
      </c>
      <c r="Q89" s="5">
        <v>0</v>
      </c>
      <c r="R89" s="5">
        <v>0</v>
      </c>
      <c r="W89" s="5">
        <v>55.4</v>
      </c>
      <c r="X89" s="5">
        <v>693</v>
      </c>
      <c r="Y89" s="5">
        <v>5.89</v>
      </c>
      <c r="Z89" s="5">
        <v>7.26</v>
      </c>
      <c r="AA89" s="5">
        <v>1.44</v>
      </c>
      <c r="AB89" s="5">
        <v>58.4</v>
      </c>
      <c r="AC89" s="5">
        <v>3.87</v>
      </c>
      <c r="AD89" s="5">
        <v>45.7</v>
      </c>
      <c r="AE89" s="5">
        <v>88.8</v>
      </c>
      <c r="AH89" s="5">
        <v>2.11</v>
      </c>
      <c r="AI89" s="5">
        <v>782</v>
      </c>
      <c r="AJ89" s="5">
        <v>22.4</v>
      </c>
      <c r="AK89" s="5">
        <v>209</v>
      </c>
      <c r="AL89" s="5">
        <v>5.72</v>
      </c>
      <c r="AM89" s="5">
        <v>14323.27</v>
      </c>
      <c r="AN89" s="5">
        <v>2312.92</v>
      </c>
      <c r="AO89" s="5">
        <v>1.8341232227488153</v>
      </c>
      <c r="AP89" s="5">
        <v>9.33</v>
      </c>
      <c r="AQ89" s="5">
        <v>8.0399999999999991</v>
      </c>
      <c r="AR89" s="5">
        <v>1.28</v>
      </c>
      <c r="AS89" s="5">
        <v>0.95</v>
      </c>
      <c r="AT89" s="5">
        <v>20.94</v>
      </c>
      <c r="AU89" s="5">
        <v>0.1</v>
      </c>
      <c r="AV89" s="5">
        <v>0.18</v>
      </c>
      <c r="AW89" s="5">
        <v>13.39</v>
      </c>
      <c r="AX89" s="5">
        <v>17.11</v>
      </c>
      <c r="AY89" s="5">
        <v>0.02</v>
      </c>
      <c r="BB89" s="5">
        <v>27.68</v>
      </c>
    </row>
    <row r="90" spans="1:54" x14ac:dyDescent="0.3">
      <c r="A90" s="1" t="s">
        <v>14</v>
      </c>
      <c r="B90" s="1" t="s">
        <v>15</v>
      </c>
      <c r="C90" s="1" t="s">
        <v>16</v>
      </c>
      <c r="D90" s="5">
        <v>42.4</v>
      </c>
      <c r="E90" s="5">
        <v>126.4</v>
      </c>
      <c r="F90" s="1" t="s">
        <v>17</v>
      </c>
      <c r="G90" s="5" t="s">
        <v>128</v>
      </c>
      <c r="H90" s="5" t="s">
        <v>125</v>
      </c>
      <c r="I90" s="6">
        <v>4.1683266317704692E-5</v>
      </c>
      <c r="J90" s="3" t="s">
        <v>445</v>
      </c>
      <c r="K90" s="5">
        <v>48.51</v>
      </c>
      <c r="L90" s="5">
        <v>0.2</v>
      </c>
      <c r="M90" s="5">
        <v>5.65</v>
      </c>
      <c r="N90" s="5">
        <v>7.82</v>
      </c>
      <c r="O90" s="5">
        <v>3.76</v>
      </c>
      <c r="P90" s="5">
        <v>2.0499999999999998</v>
      </c>
      <c r="Q90" s="5">
        <v>0</v>
      </c>
      <c r="R90" s="5">
        <v>0</v>
      </c>
      <c r="W90" s="5">
        <v>89.7</v>
      </c>
      <c r="X90" s="5">
        <v>802</v>
      </c>
      <c r="Y90" s="5">
        <v>7.69</v>
      </c>
      <c r="Z90" s="5">
        <v>10.7</v>
      </c>
      <c r="AA90" s="5">
        <v>1.52</v>
      </c>
      <c r="AB90" s="5">
        <v>72.8</v>
      </c>
      <c r="AC90" s="5">
        <v>5.57</v>
      </c>
      <c r="AD90" s="5">
        <v>58.7</v>
      </c>
      <c r="AE90" s="5">
        <v>109.5</v>
      </c>
      <c r="AH90" s="5">
        <v>1.7</v>
      </c>
      <c r="AI90" s="5">
        <v>968</v>
      </c>
      <c r="AJ90" s="5">
        <v>21.6</v>
      </c>
      <c r="AK90" s="5">
        <v>265</v>
      </c>
      <c r="AL90" s="5">
        <v>7.08</v>
      </c>
      <c r="AM90" s="5">
        <v>13843.83</v>
      </c>
      <c r="AN90" s="5">
        <v>2923.88</v>
      </c>
      <c r="AO90" s="5">
        <v>3.2764705882352945</v>
      </c>
      <c r="AP90" s="5">
        <v>12.27</v>
      </c>
      <c r="AQ90" s="5">
        <v>6.8</v>
      </c>
      <c r="AR90" s="5">
        <v>1.24</v>
      </c>
      <c r="AS90" s="5">
        <v>1.23</v>
      </c>
      <c r="AT90" s="5">
        <v>20.46</v>
      </c>
      <c r="AU90" s="5">
        <v>0.11</v>
      </c>
      <c r="AV90" s="5">
        <v>0.2</v>
      </c>
      <c r="AW90" s="5">
        <v>13.3</v>
      </c>
      <c r="AX90" s="5">
        <v>16.489999999999998</v>
      </c>
      <c r="AY90" s="5">
        <v>0.02</v>
      </c>
      <c r="BB90" s="5">
        <v>42.82</v>
      </c>
    </row>
    <row r="91" spans="1:54" x14ac:dyDescent="0.3">
      <c r="A91" s="1" t="s">
        <v>14</v>
      </c>
      <c r="B91" s="1" t="s">
        <v>15</v>
      </c>
      <c r="C91" s="1" t="s">
        <v>16</v>
      </c>
      <c r="D91" s="5">
        <v>42.4</v>
      </c>
      <c r="E91" s="5">
        <v>126.4</v>
      </c>
      <c r="F91" s="1" t="s">
        <v>17</v>
      </c>
      <c r="G91" s="5" t="s">
        <v>129</v>
      </c>
      <c r="H91" s="5" t="s">
        <v>130</v>
      </c>
      <c r="I91" s="6">
        <v>1.42196542583406E-4</v>
      </c>
      <c r="J91" s="3" t="s">
        <v>445</v>
      </c>
      <c r="K91" s="5">
        <v>49.47</v>
      </c>
      <c r="L91" s="5">
        <v>0.15</v>
      </c>
      <c r="M91" s="5">
        <v>6.39</v>
      </c>
      <c r="N91" s="5">
        <v>7.39</v>
      </c>
      <c r="O91" s="5">
        <v>3.6</v>
      </c>
      <c r="P91" s="5">
        <v>2.2799999999999998</v>
      </c>
      <c r="Q91" s="5">
        <v>16.5</v>
      </c>
      <c r="R91" s="5">
        <v>132</v>
      </c>
      <c r="W91" s="5">
        <v>52.89</v>
      </c>
      <c r="X91" s="5">
        <v>687</v>
      </c>
      <c r="Y91" s="5">
        <v>4.7699999999999996</v>
      </c>
      <c r="Z91" s="5">
        <v>6.37</v>
      </c>
      <c r="AA91" s="5">
        <v>1.22</v>
      </c>
      <c r="AB91" s="5">
        <v>60.17</v>
      </c>
      <c r="AC91" s="5">
        <v>3.29</v>
      </c>
      <c r="AD91" s="5">
        <v>44.5</v>
      </c>
      <c r="AE91" s="5">
        <v>83.48</v>
      </c>
      <c r="AH91" s="5">
        <v>1.89</v>
      </c>
      <c r="AI91" s="5">
        <v>790</v>
      </c>
      <c r="AJ91" s="5">
        <v>25.73</v>
      </c>
      <c r="AK91" s="5">
        <v>243</v>
      </c>
      <c r="AL91" s="5">
        <v>5.08</v>
      </c>
      <c r="AM91" s="5">
        <v>12825.02</v>
      </c>
      <c r="AN91" s="5">
        <v>2618.4</v>
      </c>
      <c r="AO91" s="5">
        <v>1.7407407407407409</v>
      </c>
      <c r="AP91" s="5">
        <v>9.44</v>
      </c>
      <c r="AQ91" s="5">
        <v>9.4499999999999993</v>
      </c>
      <c r="AR91" s="5">
        <v>1.35</v>
      </c>
      <c r="AS91" s="5">
        <v>0.88</v>
      </c>
      <c r="AT91" s="5">
        <v>19.54</v>
      </c>
      <c r="AU91" s="5">
        <v>0.08</v>
      </c>
      <c r="AV91" s="5">
        <v>0.14000000000000001</v>
      </c>
      <c r="AW91" s="5">
        <v>13.13</v>
      </c>
      <c r="AX91" s="5">
        <v>17.75</v>
      </c>
      <c r="AY91" s="5">
        <v>0.02</v>
      </c>
      <c r="BB91" s="5">
        <v>31.84</v>
      </c>
    </row>
    <row r="92" spans="1:54" x14ac:dyDescent="0.3">
      <c r="A92" s="1" t="s">
        <v>14</v>
      </c>
      <c r="B92" s="1" t="s">
        <v>15</v>
      </c>
      <c r="C92" s="1" t="s">
        <v>16</v>
      </c>
      <c r="D92" s="5">
        <v>42.4</v>
      </c>
      <c r="E92" s="5">
        <v>126.4</v>
      </c>
      <c r="F92" s="1" t="s">
        <v>17</v>
      </c>
      <c r="G92" s="5" t="s">
        <v>131</v>
      </c>
      <c r="H92" s="5" t="s">
        <v>130</v>
      </c>
      <c r="I92" s="6">
        <v>2.1421675046440211E-4</v>
      </c>
      <c r="J92" s="3" t="s">
        <v>445</v>
      </c>
      <c r="K92" s="5">
        <v>49.87</v>
      </c>
      <c r="L92" s="5">
        <v>0.15</v>
      </c>
      <c r="M92" s="5">
        <v>6.54</v>
      </c>
      <c r="N92" s="5">
        <v>7.59</v>
      </c>
      <c r="O92" s="5">
        <v>3.53</v>
      </c>
      <c r="P92" s="5">
        <v>2.0299999999999998</v>
      </c>
      <c r="Q92" s="5">
        <v>17</v>
      </c>
      <c r="R92" s="5">
        <v>135</v>
      </c>
      <c r="W92" s="5">
        <v>44.23</v>
      </c>
      <c r="X92" s="5">
        <v>624</v>
      </c>
      <c r="Y92" s="5">
        <v>4.58</v>
      </c>
      <c r="Z92" s="5">
        <v>5.5</v>
      </c>
      <c r="AA92" s="5">
        <v>1.04</v>
      </c>
      <c r="AB92" s="5">
        <v>52.5</v>
      </c>
      <c r="AC92" s="5">
        <v>2.85</v>
      </c>
      <c r="AD92" s="5">
        <v>39.46</v>
      </c>
      <c r="AE92" s="5">
        <v>74.180000000000007</v>
      </c>
      <c r="AH92" s="5">
        <v>1.87</v>
      </c>
      <c r="AI92" s="5">
        <v>705</v>
      </c>
      <c r="AJ92" s="5">
        <v>25.7</v>
      </c>
      <c r="AK92" s="5">
        <v>222</v>
      </c>
      <c r="AL92" s="5">
        <v>4.7699999999999996</v>
      </c>
      <c r="AM92" s="5">
        <v>12825.02</v>
      </c>
      <c r="AN92" s="5">
        <v>2400.1999999999998</v>
      </c>
      <c r="AO92" s="5">
        <v>1.5240641711229945</v>
      </c>
      <c r="AP92" s="5">
        <v>8.64</v>
      </c>
      <c r="AQ92" s="5">
        <v>9.5500000000000007</v>
      </c>
      <c r="AR92" s="5">
        <v>1.33</v>
      </c>
      <c r="AS92" s="5">
        <v>0.84</v>
      </c>
      <c r="AT92" s="5">
        <v>19.27</v>
      </c>
      <c r="AU92" s="5">
        <v>0.09</v>
      </c>
      <c r="AV92" s="5">
        <v>0.14000000000000001</v>
      </c>
      <c r="AW92" s="5">
        <v>13.43</v>
      </c>
      <c r="AX92" s="5">
        <v>17.87</v>
      </c>
      <c r="AY92" s="5">
        <v>0.02</v>
      </c>
      <c r="BB92" s="5">
        <v>28.07</v>
      </c>
    </row>
    <row r="93" spans="1:54" x14ac:dyDescent="0.3">
      <c r="A93" s="1" t="s">
        <v>14</v>
      </c>
      <c r="B93" s="1" t="s">
        <v>15</v>
      </c>
      <c r="C93" s="1" t="s">
        <v>16</v>
      </c>
      <c r="D93" s="5">
        <v>42.4</v>
      </c>
      <c r="E93" s="5">
        <v>126.4</v>
      </c>
      <c r="F93" s="1" t="s">
        <v>17</v>
      </c>
      <c r="G93" s="5" t="s">
        <v>132</v>
      </c>
      <c r="H93" s="5" t="s">
        <v>130</v>
      </c>
      <c r="I93" s="6">
        <v>1.6380484157707539E-4</v>
      </c>
      <c r="J93" s="3" t="s">
        <v>445</v>
      </c>
      <c r="K93" s="5">
        <v>51.83</v>
      </c>
      <c r="L93" s="5">
        <v>0.14000000000000001</v>
      </c>
      <c r="M93" s="5">
        <v>4.9800000000000004</v>
      </c>
      <c r="N93" s="5">
        <v>5.62</v>
      </c>
      <c r="O93" s="5">
        <v>4.43</v>
      </c>
      <c r="P93" s="5">
        <v>2.76</v>
      </c>
      <c r="Q93" s="5">
        <v>13.8</v>
      </c>
      <c r="R93" s="5">
        <v>100</v>
      </c>
      <c r="W93" s="5">
        <v>63.86</v>
      </c>
      <c r="X93" s="5">
        <v>758</v>
      </c>
      <c r="Y93" s="5">
        <v>5.34</v>
      </c>
      <c r="Z93" s="5">
        <v>8.9</v>
      </c>
      <c r="AA93" s="5">
        <v>1.21</v>
      </c>
      <c r="AB93" s="5">
        <v>75.349999999999994</v>
      </c>
      <c r="AC93" s="5">
        <v>4.09</v>
      </c>
      <c r="AD93" s="5">
        <v>54.58</v>
      </c>
      <c r="AE93" s="5">
        <v>98.27</v>
      </c>
      <c r="AH93" s="5">
        <v>1.88</v>
      </c>
      <c r="AI93" s="5">
        <v>893</v>
      </c>
      <c r="AJ93" s="5">
        <v>26.12</v>
      </c>
      <c r="AK93" s="5">
        <v>277</v>
      </c>
      <c r="AL93" s="5">
        <v>5.74</v>
      </c>
      <c r="AM93" s="5">
        <v>10128.17</v>
      </c>
      <c r="AN93" s="5">
        <v>3142.08</v>
      </c>
      <c r="AO93" s="5">
        <v>2.1755319148936172</v>
      </c>
      <c r="AP93" s="5">
        <v>10.6</v>
      </c>
      <c r="AQ93" s="5">
        <v>8.4700000000000006</v>
      </c>
      <c r="AR93" s="5">
        <v>1.38</v>
      </c>
      <c r="AS93" s="5">
        <v>0.85</v>
      </c>
      <c r="AT93" s="5">
        <v>19.07</v>
      </c>
      <c r="AU93" s="5">
        <v>7.0000000000000007E-2</v>
      </c>
      <c r="AV93" s="5">
        <v>0.13</v>
      </c>
      <c r="AW93" s="5">
        <v>11.85</v>
      </c>
      <c r="AX93" s="5">
        <v>16.36</v>
      </c>
      <c r="AY93" s="5">
        <v>0.02</v>
      </c>
      <c r="BB93" s="5">
        <v>40.08</v>
      </c>
    </row>
    <row r="94" spans="1:54" x14ac:dyDescent="0.3">
      <c r="A94" s="1" t="s">
        <v>14</v>
      </c>
      <c r="B94" s="1" t="s">
        <v>15</v>
      </c>
      <c r="C94" s="1" t="s">
        <v>16</v>
      </c>
      <c r="D94" s="5">
        <v>42.4</v>
      </c>
      <c r="E94" s="5">
        <v>126.4</v>
      </c>
      <c r="F94" s="1" t="s">
        <v>17</v>
      </c>
      <c r="G94" s="5" t="s">
        <v>133</v>
      </c>
      <c r="H94" s="5" t="s">
        <v>130</v>
      </c>
      <c r="I94" s="6">
        <v>8.8344177129329182E-6</v>
      </c>
      <c r="J94" s="3" t="s">
        <v>445</v>
      </c>
      <c r="K94" s="5">
        <v>47.61</v>
      </c>
      <c r="L94" s="5">
        <v>0.16</v>
      </c>
      <c r="M94" s="5">
        <v>8.19</v>
      </c>
      <c r="N94" s="5">
        <v>8.7100000000000009</v>
      </c>
      <c r="O94" s="5">
        <v>4.0999999999999996</v>
      </c>
      <c r="P94" s="5">
        <v>2.34</v>
      </c>
      <c r="Q94" s="5">
        <v>10.6</v>
      </c>
      <c r="R94" s="5">
        <v>76</v>
      </c>
      <c r="W94" s="5">
        <v>78.17</v>
      </c>
      <c r="X94" s="5">
        <v>744</v>
      </c>
      <c r="Y94" s="5">
        <v>6.05</v>
      </c>
      <c r="Z94" s="5">
        <v>10.28</v>
      </c>
      <c r="AA94" s="5">
        <v>1.81</v>
      </c>
      <c r="AB94" s="5">
        <v>86.18</v>
      </c>
      <c r="AC94" s="5">
        <v>4.6900000000000004</v>
      </c>
      <c r="AD94" s="5">
        <v>63.35</v>
      </c>
      <c r="AE94" s="5">
        <v>112.73</v>
      </c>
      <c r="AH94" s="5">
        <v>1.72</v>
      </c>
      <c r="AI94" s="5">
        <v>1002</v>
      </c>
      <c r="AJ94" s="5">
        <v>25.04</v>
      </c>
      <c r="AK94" s="5">
        <v>329</v>
      </c>
      <c r="AL94" s="5">
        <v>6.51</v>
      </c>
      <c r="AM94" s="5">
        <v>10068.24</v>
      </c>
      <c r="AN94" s="5">
        <v>2880.24</v>
      </c>
      <c r="AO94" s="5">
        <v>2.726744186046512</v>
      </c>
      <c r="AP94" s="5">
        <v>13.14</v>
      </c>
      <c r="AQ94" s="5">
        <v>8.3800000000000008</v>
      </c>
      <c r="AR94" s="5">
        <v>1.36</v>
      </c>
      <c r="AS94" s="5">
        <v>0.91</v>
      </c>
      <c r="AT94" s="5">
        <v>16.96</v>
      </c>
      <c r="AU94" s="5">
        <v>7.0000000000000007E-2</v>
      </c>
      <c r="AV94" s="5">
        <v>0.14000000000000001</v>
      </c>
      <c r="AW94" s="5">
        <v>11.63</v>
      </c>
      <c r="AX94" s="5">
        <v>15.82</v>
      </c>
      <c r="AY94" s="5">
        <v>0.02</v>
      </c>
      <c r="BB94" s="5">
        <v>50.1</v>
      </c>
    </row>
    <row r="95" spans="1:54" x14ac:dyDescent="0.3">
      <c r="A95" s="1" t="s">
        <v>14</v>
      </c>
      <c r="B95" s="1" t="s">
        <v>15</v>
      </c>
      <c r="C95" s="1" t="s">
        <v>16</v>
      </c>
      <c r="D95" s="5">
        <v>42.4</v>
      </c>
      <c r="E95" s="5">
        <v>126.4</v>
      </c>
      <c r="F95" s="1" t="s">
        <v>17</v>
      </c>
      <c r="G95" s="5" t="s">
        <v>134</v>
      </c>
      <c r="H95" s="5" t="s">
        <v>130</v>
      </c>
      <c r="I95" s="6">
        <v>9.1893583885394037E-5</v>
      </c>
      <c r="J95" s="3" t="s">
        <v>445</v>
      </c>
      <c r="K95" s="5">
        <v>47.66</v>
      </c>
      <c r="L95" s="5">
        <v>0.16</v>
      </c>
      <c r="M95" s="5">
        <v>6.37</v>
      </c>
      <c r="N95" s="5">
        <v>7.82</v>
      </c>
      <c r="O95" s="5">
        <v>3.79</v>
      </c>
      <c r="P95" s="5">
        <v>2.63</v>
      </c>
      <c r="Q95" s="5">
        <v>19.399999999999999</v>
      </c>
      <c r="R95" s="5">
        <v>174</v>
      </c>
      <c r="W95" s="5">
        <v>64.55</v>
      </c>
      <c r="X95" s="5">
        <v>731</v>
      </c>
      <c r="Y95" s="5">
        <v>5.34</v>
      </c>
      <c r="Z95" s="5">
        <v>7.28</v>
      </c>
      <c r="AA95" s="5">
        <v>1.4</v>
      </c>
      <c r="AB95" s="5">
        <v>69.38</v>
      </c>
      <c r="AC95" s="5">
        <v>3.75</v>
      </c>
      <c r="AD95" s="5">
        <v>49.23</v>
      </c>
      <c r="AE95" s="5">
        <v>91.96</v>
      </c>
      <c r="AH95" s="5">
        <v>1.99</v>
      </c>
      <c r="AI95" s="5">
        <v>854</v>
      </c>
      <c r="AJ95" s="5">
        <v>26.13</v>
      </c>
      <c r="AK95" s="5">
        <v>260</v>
      </c>
      <c r="AL95" s="5">
        <v>5.43</v>
      </c>
      <c r="AM95" s="5">
        <v>15641.73</v>
      </c>
      <c r="AN95" s="5">
        <v>2443.84</v>
      </c>
      <c r="AO95" s="5">
        <v>1.8844221105527639</v>
      </c>
      <c r="AP95" s="5">
        <v>9.9499999999999993</v>
      </c>
      <c r="AQ95" s="5">
        <v>9.5299999999999994</v>
      </c>
      <c r="AR95" s="5">
        <v>1.41</v>
      </c>
      <c r="AS95" s="5">
        <v>0.93</v>
      </c>
      <c r="AT95" s="5">
        <v>19.190000000000001</v>
      </c>
      <c r="AU95" s="5">
        <v>0.08</v>
      </c>
      <c r="AV95" s="5">
        <v>0.14000000000000001</v>
      </c>
      <c r="AW95" s="5">
        <v>12.31</v>
      </c>
      <c r="AX95" s="5">
        <v>17.350000000000001</v>
      </c>
      <c r="AY95" s="5">
        <v>0.02</v>
      </c>
      <c r="BB95" s="5">
        <v>34.86</v>
      </c>
    </row>
    <row r="96" spans="1:54" x14ac:dyDescent="0.3">
      <c r="A96" s="1" t="s">
        <v>14</v>
      </c>
      <c r="B96" s="1" t="s">
        <v>15</v>
      </c>
      <c r="C96" s="1" t="s">
        <v>16</v>
      </c>
      <c r="D96" s="5">
        <v>42.4</v>
      </c>
      <c r="E96" s="5">
        <v>126.4</v>
      </c>
      <c r="F96" s="1" t="s">
        <v>17</v>
      </c>
      <c r="G96" s="5" t="s">
        <v>135</v>
      </c>
      <c r="H96" s="5" t="s">
        <v>130</v>
      </c>
      <c r="I96" s="6">
        <v>9.6165575087070465E-5</v>
      </c>
      <c r="J96" s="3" t="s">
        <v>445</v>
      </c>
      <c r="K96" s="5">
        <v>47.12</v>
      </c>
      <c r="L96" s="5">
        <v>0.15</v>
      </c>
      <c r="M96" s="5">
        <v>8.1199999999999992</v>
      </c>
      <c r="N96" s="5">
        <v>8.31</v>
      </c>
      <c r="O96" s="5">
        <v>3.32</v>
      </c>
      <c r="P96" s="5">
        <v>2.27</v>
      </c>
      <c r="Q96" s="5">
        <v>17.399999999999999</v>
      </c>
      <c r="R96" s="5">
        <v>138</v>
      </c>
      <c r="W96" s="5">
        <v>51.97</v>
      </c>
      <c r="X96" s="5">
        <v>631</v>
      </c>
      <c r="Y96" s="5">
        <v>4.2300000000000004</v>
      </c>
      <c r="Z96" s="5">
        <v>5.72</v>
      </c>
      <c r="AA96" s="5">
        <v>1.1100000000000001</v>
      </c>
      <c r="AB96" s="5">
        <v>53.91</v>
      </c>
      <c r="AC96" s="5">
        <v>2.91</v>
      </c>
      <c r="AD96" s="5">
        <v>40.17</v>
      </c>
      <c r="AE96" s="5">
        <v>75.67</v>
      </c>
      <c r="AH96" s="5">
        <v>1.89</v>
      </c>
      <c r="AI96" s="5">
        <v>719</v>
      </c>
      <c r="AJ96" s="5">
        <v>24.92</v>
      </c>
      <c r="AK96" s="5">
        <v>221</v>
      </c>
      <c r="AL96" s="5">
        <v>4.66</v>
      </c>
      <c r="AM96" s="5">
        <v>15342.08</v>
      </c>
      <c r="AN96" s="5">
        <v>2138.36</v>
      </c>
      <c r="AO96" s="5">
        <v>1.5396825396825398</v>
      </c>
      <c r="AP96" s="5">
        <v>8.8699999999999992</v>
      </c>
      <c r="AQ96" s="5">
        <v>9.42</v>
      </c>
      <c r="AR96" s="5">
        <v>1.34</v>
      </c>
      <c r="AS96" s="5">
        <v>0.96</v>
      </c>
      <c r="AT96" s="5">
        <v>19.309999999999999</v>
      </c>
      <c r="AU96" s="5">
        <v>0.08</v>
      </c>
      <c r="AV96" s="5">
        <v>0.13</v>
      </c>
      <c r="AW96" s="5">
        <v>13.34</v>
      </c>
      <c r="AX96" s="5">
        <v>17.899999999999999</v>
      </c>
      <c r="AY96" s="5">
        <v>0.02</v>
      </c>
      <c r="BB96" s="5">
        <v>28.52</v>
      </c>
    </row>
    <row r="97" spans="1:54" x14ac:dyDescent="0.3">
      <c r="A97" s="1" t="s">
        <v>14</v>
      </c>
      <c r="B97" s="1" t="s">
        <v>15</v>
      </c>
      <c r="C97" s="1" t="s">
        <v>16</v>
      </c>
      <c r="D97" s="5">
        <v>42.4</v>
      </c>
      <c r="E97" s="5">
        <v>126.4</v>
      </c>
      <c r="F97" s="1" t="s">
        <v>17</v>
      </c>
      <c r="G97" s="5" t="s">
        <v>136</v>
      </c>
      <c r="H97" s="5" t="s">
        <v>130</v>
      </c>
      <c r="I97" s="6">
        <v>5.0643191207200289E-4</v>
      </c>
      <c r="J97" s="3" t="s">
        <v>445</v>
      </c>
      <c r="K97" s="5">
        <v>50.05</v>
      </c>
      <c r="L97" s="5">
        <v>0.15</v>
      </c>
      <c r="M97" s="5">
        <v>6.71</v>
      </c>
      <c r="N97" s="5">
        <v>7.66</v>
      </c>
      <c r="O97" s="5">
        <v>3.74</v>
      </c>
      <c r="P97" s="5">
        <v>2.16</v>
      </c>
      <c r="Q97" s="5">
        <v>17.100000000000001</v>
      </c>
      <c r="R97" s="5">
        <v>138</v>
      </c>
      <c r="W97" s="5">
        <v>52.08</v>
      </c>
      <c r="X97" s="5">
        <v>666</v>
      </c>
      <c r="Y97" s="5">
        <v>4.4400000000000004</v>
      </c>
      <c r="Z97" s="5">
        <v>6.28</v>
      </c>
      <c r="AA97" s="5">
        <v>1.18</v>
      </c>
      <c r="AB97" s="5">
        <v>59.17</v>
      </c>
      <c r="AC97" s="5">
        <v>3.21</v>
      </c>
      <c r="AD97" s="5">
        <v>43.81</v>
      </c>
      <c r="AE97" s="5">
        <v>81.180000000000007</v>
      </c>
      <c r="AH97" s="5">
        <v>1.86</v>
      </c>
      <c r="AI97" s="5">
        <v>784</v>
      </c>
      <c r="AJ97" s="5">
        <v>25.24</v>
      </c>
      <c r="AK97" s="5">
        <v>238</v>
      </c>
      <c r="AL97" s="5">
        <v>5.03</v>
      </c>
      <c r="AM97" s="5">
        <v>12585.3</v>
      </c>
      <c r="AN97" s="5">
        <v>2356.56</v>
      </c>
      <c r="AO97" s="5">
        <v>1.725806451612903</v>
      </c>
      <c r="AP97" s="5">
        <v>9.43</v>
      </c>
      <c r="AQ97" s="5">
        <v>9.42</v>
      </c>
      <c r="AR97" s="5">
        <v>1.35</v>
      </c>
      <c r="AS97" s="5">
        <v>0.88</v>
      </c>
      <c r="AT97" s="5">
        <v>19.239999999999998</v>
      </c>
      <c r="AU97" s="5">
        <v>0.08</v>
      </c>
      <c r="AV97" s="5">
        <v>0.13</v>
      </c>
      <c r="AW97" s="5">
        <v>13.25</v>
      </c>
      <c r="AX97" s="5">
        <v>17.899999999999999</v>
      </c>
      <c r="AY97" s="5">
        <v>0.02</v>
      </c>
      <c r="BB97" s="5">
        <v>31.81</v>
      </c>
    </row>
    <row r="98" spans="1:54" x14ac:dyDescent="0.3">
      <c r="A98" s="1" t="s">
        <v>14</v>
      </c>
      <c r="B98" s="1" t="s">
        <v>15</v>
      </c>
      <c r="C98" s="1" t="s">
        <v>16</v>
      </c>
      <c r="D98" s="5">
        <v>42.4</v>
      </c>
      <c r="E98" s="5">
        <v>126.4</v>
      </c>
      <c r="F98" s="1" t="s">
        <v>17</v>
      </c>
      <c r="G98" s="5" t="s">
        <v>137</v>
      </c>
      <c r="H98" s="5" t="s">
        <v>130</v>
      </c>
      <c r="I98" s="6">
        <v>3.6178658774588257E-5</v>
      </c>
      <c r="J98" s="3" t="s">
        <v>445</v>
      </c>
      <c r="K98" s="5">
        <v>47.87</v>
      </c>
      <c r="L98" s="5">
        <v>0.15</v>
      </c>
      <c r="M98" s="5">
        <v>7.55</v>
      </c>
      <c r="N98" s="5">
        <v>8.58</v>
      </c>
      <c r="O98" s="5">
        <v>3.37</v>
      </c>
      <c r="P98" s="5">
        <v>1.88</v>
      </c>
      <c r="Q98" s="5">
        <v>20.8</v>
      </c>
      <c r="R98" s="5">
        <v>174</v>
      </c>
      <c r="W98" s="5">
        <v>45.56</v>
      </c>
      <c r="X98" s="5">
        <v>597</v>
      </c>
      <c r="Y98" s="5">
        <v>3.84</v>
      </c>
      <c r="Z98" s="5">
        <v>5.19</v>
      </c>
      <c r="AA98" s="5">
        <v>1.01</v>
      </c>
      <c r="AB98" s="5">
        <v>52.37</v>
      </c>
      <c r="AC98" s="5">
        <v>2.82</v>
      </c>
      <c r="AD98" s="5">
        <v>35.99</v>
      </c>
      <c r="AE98" s="5">
        <v>68.69</v>
      </c>
      <c r="AH98" s="5">
        <v>1.85</v>
      </c>
      <c r="AI98" s="5">
        <v>626</v>
      </c>
      <c r="AJ98" s="5">
        <v>25.07</v>
      </c>
      <c r="AK98" s="5">
        <v>210</v>
      </c>
      <c r="AL98" s="5">
        <v>4.59</v>
      </c>
      <c r="AM98" s="5">
        <v>14622.92</v>
      </c>
      <c r="AN98" s="5">
        <v>1876.52</v>
      </c>
      <c r="AO98" s="5">
        <v>1.5243243243243241</v>
      </c>
      <c r="AP98" s="5">
        <v>8.3800000000000008</v>
      </c>
      <c r="AQ98" s="5">
        <v>10.09</v>
      </c>
      <c r="AR98" s="5">
        <v>1.46</v>
      </c>
      <c r="AS98" s="5">
        <v>0.87</v>
      </c>
      <c r="AT98" s="5">
        <v>19.54</v>
      </c>
      <c r="AU98" s="5">
        <v>7.0000000000000007E-2</v>
      </c>
      <c r="AV98" s="5">
        <v>0.13</v>
      </c>
      <c r="AW98" s="5">
        <v>11.95</v>
      </c>
      <c r="AX98" s="5">
        <v>17.39</v>
      </c>
      <c r="AY98" s="5">
        <v>0.02</v>
      </c>
      <c r="BB98" s="5">
        <v>28.31</v>
      </c>
    </row>
    <row r="99" spans="1:54" x14ac:dyDescent="0.3">
      <c r="A99" s="1" t="s">
        <v>14</v>
      </c>
      <c r="B99" s="1" t="s">
        <v>15</v>
      </c>
      <c r="C99" s="1" t="s">
        <v>16</v>
      </c>
      <c r="D99" s="5">
        <v>42.32</v>
      </c>
      <c r="E99" s="5">
        <v>126.42</v>
      </c>
      <c r="F99" s="1" t="s">
        <v>17</v>
      </c>
      <c r="G99" s="5" t="s">
        <v>138</v>
      </c>
      <c r="H99" s="5" t="s">
        <v>139</v>
      </c>
      <c r="I99" s="6">
        <v>1.753165968693793E-3</v>
      </c>
      <c r="J99" s="3" t="s">
        <v>445</v>
      </c>
      <c r="K99" s="5">
        <v>49.26</v>
      </c>
      <c r="L99" s="5">
        <v>0.18</v>
      </c>
      <c r="M99" s="5">
        <v>4.42</v>
      </c>
      <c r="N99" s="5">
        <v>5.7</v>
      </c>
      <c r="O99" s="5">
        <v>4.21</v>
      </c>
      <c r="P99" s="5">
        <v>2.98</v>
      </c>
      <c r="Q99" s="5">
        <v>0</v>
      </c>
      <c r="R99" s="5">
        <v>0</v>
      </c>
      <c r="W99" s="5">
        <v>107.05</v>
      </c>
      <c r="X99" s="5">
        <v>812.43</v>
      </c>
      <c r="Y99" s="5">
        <v>8.7899999999999991</v>
      </c>
      <c r="Z99" s="5">
        <v>11.36</v>
      </c>
      <c r="AA99" s="5">
        <v>2.11</v>
      </c>
      <c r="AB99" s="5">
        <v>72.13</v>
      </c>
      <c r="AC99" s="5">
        <v>5.99</v>
      </c>
      <c r="AD99" s="5">
        <v>63.75</v>
      </c>
      <c r="AE99" s="5">
        <v>119.34</v>
      </c>
      <c r="AH99" s="5">
        <v>2.57</v>
      </c>
      <c r="AI99" s="5">
        <v>1090.3</v>
      </c>
      <c r="AJ99" s="5">
        <v>22.94</v>
      </c>
      <c r="AK99" s="5">
        <v>302.57</v>
      </c>
      <c r="AL99" s="5">
        <v>6.5</v>
      </c>
      <c r="AM99" s="5">
        <v>11506.56</v>
      </c>
      <c r="AN99" s="5">
        <v>3796.68</v>
      </c>
      <c r="AO99" s="5">
        <v>2.3307392996108951</v>
      </c>
      <c r="AP99" s="5">
        <v>13.19</v>
      </c>
      <c r="AQ99" s="5">
        <v>6.35</v>
      </c>
      <c r="AR99" s="5">
        <v>1.1299999999999999</v>
      </c>
      <c r="AS99" s="5">
        <v>1.48</v>
      </c>
      <c r="AT99" s="5">
        <v>18.510000000000002</v>
      </c>
      <c r="AU99" s="5">
        <v>0.12</v>
      </c>
      <c r="AV99" s="5">
        <v>0.2</v>
      </c>
      <c r="AW99" s="5">
        <v>15.12</v>
      </c>
      <c r="AX99" s="5">
        <v>17.100000000000001</v>
      </c>
      <c r="AY99" s="5">
        <v>0.03</v>
      </c>
      <c r="BB99" s="5">
        <v>28.07</v>
      </c>
    </row>
    <row r="100" spans="1:54" x14ac:dyDescent="0.3">
      <c r="A100" s="1" t="s">
        <v>14</v>
      </c>
      <c r="B100" s="1" t="s">
        <v>15</v>
      </c>
      <c r="C100" s="1" t="s">
        <v>16</v>
      </c>
      <c r="D100" s="5">
        <v>42.32</v>
      </c>
      <c r="E100" s="5">
        <v>126.42</v>
      </c>
      <c r="F100" s="1" t="s">
        <v>17</v>
      </c>
      <c r="G100" s="5" t="s">
        <v>140</v>
      </c>
      <c r="H100" s="5" t="s">
        <v>139</v>
      </c>
      <c r="I100" s="6">
        <v>2.5249149985029359E-5</v>
      </c>
      <c r="J100" s="3" t="s">
        <v>445</v>
      </c>
      <c r="K100" s="5">
        <v>48.1</v>
      </c>
      <c r="L100" s="5">
        <v>0.19</v>
      </c>
      <c r="M100" s="5">
        <v>6.68</v>
      </c>
      <c r="N100" s="5">
        <v>7.94</v>
      </c>
      <c r="O100" s="5">
        <v>3.39</v>
      </c>
      <c r="P100" s="5">
        <v>2.27</v>
      </c>
      <c r="Q100" s="5">
        <v>0</v>
      </c>
      <c r="R100" s="5">
        <v>0</v>
      </c>
      <c r="W100" s="5">
        <v>55.36</v>
      </c>
      <c r="X100" s="5">
        <v>693.13</v>
      </c>
      <c r="Y100" s="5">
        <v>5.89</v>
      </c>
      <c r="Z100" s="5">
        <v>7.26</v>
      </c>
      <c r="AA100" s="5">
        <v>1.44</v>
      </c>
      <c r="AB100" s="5">
        <v>58.39</v>
      </c>
      <c r="AC100" s="5">
        <v>3.87</v>
      </c>
      <c r="AD100" s="5">
        <v>45.72</v>
      </c>
      <c r="AE100" s="5">
        <v>88.83</v>
      </c>
      <c r="AH100" s="5">
        <v>2.11</v>
      </c>
      <c r="AI100" s="5">
        <v>782.04</v>
      </c>
      <c r="AJ100" s="5">
        <v>22.39</v>
      </c>
      <c r="AK100" s="5">
        <v>208.82</v>
      </c>
      <c r="AL100" s="5">
        <v>5.72</v>
      </c>
      <c r="AM100" s="5">
        <v>14203.41</v>
      </c>
      <c r="AN100" s="5">
        <v>2312.92</v>
      </c>
      <c r="AO100" s="5">
        <v>1.8341232227488153</v>
      </c>
      <c r="AP100" s="5">
        <v>9.33</v>
      </c>
      <c r="AQ100" s="5">
        <v>8.0399999999999991</v>
      </c>
      <c r="AR100" s="5">
        <v>1.28</v>
      </c>
      <c r="AS100" s="5">
        <v>0.95</v>
      </c>
      <c r="AT100" s="5">
        <v>20.92</v>
      </c>
      <c r="AU100" s="5">
        <v>0.1</v>
      </c>
      <c r="AV100" s="5">
        <v>0.18</v>
      </c>
      <c r="AW100" s="5">
        <v>13.39</v>
      </c>
      <c r="AX100" s="5">
        <v>17.100000000000001</v>
      </c>
      <c r="AY100" s="5">
        <v>0.02</v>
      </c>
      <c r="BB100" s="5">
        <v>27.67</v>
      </c>
    </row>
    <row r="101" spans="1:54" x14ac:dyDescent="0.3">
      <c r="A101" s="1" t="s">
        <v>14</v>
      </c>
      <c r="B101" s="1" t="s">
        <v>15</v>
      </c>
      <c r="C101" s="1" t="s">
        <v>16</v>
      </c>
      <c r="D101" s="5">
        <v>42.32</v>
      </c>
      <c r="E101" s="5">
        <v>126.42</v>
      </c>
      <c r="F101" s="1" t="s">
        <v>17</v>
      </c>
      <c r="G101" s="5" t="s">
        <v>141</v>
      </c>
      <c r="H101" s="5" t="s">
        <v>139</v>
      </c>
      <c r="I101" s="6">
        <v>6.1330967582762241E-5</v>
      </c>
      <c r="J101" s="3" t="s">
        <v>445</v>
      </c>
      <c r="K101" s="5">
        <v>47.73</v>
      </c>
      <c r="L101" s="5">
        <v>0.18</v>
      </c>
      <c r="M101" s="5">
        <v>6.62</v>
      </c>
      <c r="N101" s="5">
        <v>7.94</v>
      </c>
      <c r="O101" s="5">
        <v>3.63</v>
      </c>
      <c r="P101" s="5">
        <v>2.23</v>
      </c>
      <c r="Q101" s="5">
        <v>0</v>
      </c>
      <c r="R101" s="5">
        <v>0</v>
      </c>
      <c r="W101" s="5">
        <v>59.63</v>
      </c>
      <c r="X101" s="5">
        <v>683.32</v>
      </c>
      <c r="Y101" s="5">
        <v>5.62</v>
      </c>
      <c r="Z101" s="5">
        <v>7.52</v>
      </c>
      <c r="AA101" s="5">
        <v>1.45</v>
      </c>
      <c r="AB101" s="5">
        <v>55.46</v>
      </c>
      <c r="AC101" s="5">
        <v>4.17</v>
      </c>
      <c r="AD101" s="5">
        <v>46.26</v>
      </c>
      <c r="AE101" s="5">
        <v>87.98</v>
      </c>
      <c r="AH101" s="5">
        <v>1.82</v>
      </c>
      <c r="AI101" s="5">
        <v>776.54</v>
      </c>
      <c r="AJ101" s="5">
        <v>21.53</v>
      </c>
      <c r="AK101" s="5">
        <v>208.7</v>
      </c>
      <c r="AL101" s="5">
        <v>6.37</v>
      </c>
      <c r="AM101" s="5">
        <v>14083.55</v>
      </c>
      <c r="AN101" s="5">
        <v>2225.64</v>
      </c>
      <c r="AO101" s="5">
        <v>2.2912087912087911</v>
      </c>
      <c r="AP101" s="5">
        <v>9.69</v>
      </c>
      <c r="AQ101" s="5">
        <v>7.38</v>
      </c>
      <c r="AR101" s="5">
        <v>1.2</v>
      </c>
      <c r="AS101" s="5">
        <v>1.08</v>
      </c>
      <c r="AT101" s="5">
        <v>19.62</v>
      </c>
      <c r="AU101" s="5">
        <v>0.1</v>
      </c>
      <c r="AV101" s="5">
        <v>0.16</v>
      </c>
      <c r="AW101" s="5">
        <v>14</v>
      </c>
      <c r="AX101" s="5">
        <v>16.79</v>
      </c>
      <c r="AY101" s="5">
        <v>0.03</v>
      </c>
      <c r="BB101" s="5">
        <v>30.47</v>
      </c>
    </row>
    <row r="102" spans="1:54" x14ac:dyDescent="0.3">
      <c r="A102" s="1" t="s">
        <v>14</v>
      </c>
      <c r="B102" s="1" t="s">
        <v>15</v>
      </c>
      <c r="C102" s="1" t="s">
        <v>16</v>
      </c>
      <c r="D102" s="5">
        <v>42.32</v>
      </c>
      <c r="E102" s="5">
        <v>126.42</v>
      </c>
      <c r="F102" s="1" t="s">
        <v>17</v>
      </c>
      <c r="G102" s="5" t="s">
        <v>142</v>
      </c>
      <c r="H102" s="5" t="s">
        <v>139</v>
      </c>
      <c r="I102" s="6">
        <v>7.8188777479226701E-6</v>
      </c>
      <c r="J102" s="3" t="s">
        <v>445</v>
      </c>
      <c r="K102" s="5">
        <v>47.51</v>
      </c>
      <c r="L102" s="5">
        <v>0.2</v>
      </c>
      <c r="M102" s="5">
        <v>6.56</v>
      </c>
      <c r="N102" s="5">
        <v>7.84</v>
      </c>
      <c r="O102" s="5">
        <v>3.74</v>
      </c>
      <c r="P102" s="5">
        <v>2.35</v>
      </c>
      <c r="Q102" s="5">
        <v>0</v>
      </c>
      <c r="R102" s="5">
        <v>0</v>
      </c>
      <c r="W102" s="5">
        <v>64.61</v>
      </c>
      <c r="X102" s="5">
        <v>685.23</v>
      </c>
      <c r="Y102" s="5">
        <v>5.61</v>
      </c>
      <c r="Z102" s="5">
        <v>7.51</v>
      </c>
      <c r="AA102" s="5">
        <v>1.52</v>
      </c>
      <c r="AB102" s="5">
        <v>58.63</v>
      </c>
      <c r="AC102" s="5">
        <v>4.1100000000000003</v>
      </c>
      <c r="AD102" s="5">
        <v>46.6</v>
      </c>
      <c r="AE102" s="5">
        <v>88.55</v>
      </c>
      <c r="AH102" s="5">
        <v>1.49</v>
      </c>
      <c r="AI102" s="5">
        <v>782.24</v>
      </c>
      <c r="AJ102" s="5">
        <v>21.39</v>
      </c>
      <c r="AK102" s="5">
        <v>209.17</v>
      </c>
      <c r="AL102" s="5">
        <v>5.97</v>
      </c>
      <c r="AM102" s="5">
        <v>14143.48</v>
      </c>
      <c r="AN102" s="5">
        <v>2269.2800000000002</v>
      </c>
      <c r="AO102" s="5">
        <v>2.7583892617449668</v>
      </c>
      <c r="AP102" s="5">
        <v>9.7799999999999994</v>
      </c>
      <c r="AQ102" s="5">
        <v>7.81</v>
      </c>
      <c r="AR102" s="5">
        <v>1.26</v>
      </c>
      <c r="AS102" s="5">
        <v>1.1000000000000001</v>
      </c>
      <c r="AT102" s="5">
        <v>19.899999999999999</v>
      </c>
      <c r="AU102" s="5">
        <v>0.1</v>
      </c>
      <c r="AV102" s="5">
        <v>0.16</v>
      </c>
      <c r="AW102" s="5">
        <v>13.34</v>
      </c>
      <c r="AX102" s="5">
        <v>16.79</v>
      </c>
      <c r="AY102" s="5">
        <v>0.03</v>
      </c>
      <c r="BB102" s="5">
        <v>39.35</v>
      </c>
    </row>
    <row r="103" spans="1:54" x14ac:dyDescent="0.3">
      <c r="A103" s="1" t="s">
        <v>14</v>
      </c>
      <c r="B103" s="1" t="s">
        <v>15</v>
      </c>
      <c r="C103" s="1" t="s">
        <v>16</v>
      </c>
      <c r="D103" s="5">
        <v>42.32</v>
      </c>
      <c r="E103" s="5">
        <v>126.42</v>
      </c>
      <c r="F103" s="1" t="s">
        <v>17</v>
      </c>
      <c r="G103" s="5" t="s">
        <v>143</v>
      </c>
      <c r="H103" s="5" t="s">
        <v>139</v>
      </c>
      <c r="I103" s="6">
        <v>2.2207392248674299E-5</v>
      </c>
      <c r="J103" s="3" t="s">
        <v>445</v>
      </c>
      <c r="K103" s="5">
        <v>47.52</v>
      </c>
      <c r="L103" s="5">
        <v>0.18</v>
      </c>
      <c r="M103" s="5">
        <v>6.61</v>
      </c>
      <c r="N103" s="5">
        <v>7.83</v>
      </c>
      <c r="O103" s="5">
        <v>3.36</v>
      </c>
      <c r="P103" s="5">
        <v>2.39</v>
      </c>
      <c r="Q103" s="5">
        <v>0</v>
      </c>
      <c r="R103" s="5">
        <v>0</v>
      </c>
      <c r="W103" s="5">
        <v>59.71</v>
      </c>
      <c r="X103" s="5">
        <v>673.76</v>
      </c>
      <c r="Y103" s="5">
        <v>5.96</v>
      </c>
      <c r="Z103" s="5">
        <v>7.17</v>
      </c>
      <c r="AA103" s="5">
        <v>1.58</v>
      </c>
      <c r="AB103" s="5">
        <v>53.34</v>
      </c>
      <c r="AC103" s="5">
        <v>4.12</v>
      </c>
      <c r="AD103" s="5">
        <v>44.04</v>
      </c>
      <c r="AE103" s="5">
        <v>84.22</v>
      </c>
      <c r="AH103" s="5">
        <v>1.6</v>
      </c>
      <c r="AI103" s="5">
        <v>722.24</v>
      </c>
      <c r="AJ103" s="5">
        <v>21.3</v>
      </c>
      <c r="AK103" s="5">
        <v>224</v>
      </c>
      <c r="AL103" s="5">
        <v>4.95</v>
      </c>
      <c r="AM103" s="5">
        <v>14323.27</v>
      </c>
      <c r="AN103" s="5">
        <v>2312.92</v>
      </c>
      <c r="AO103" s="5">
        <v>2.5749999999999997</v>
      </c>
      <c r="AP103" s="5">
        <v>10.52</v>
      </c>
      <c r="AQ103" s="5">
        <v>7.44</v>
      </c>
      <c r="AR103" s="5">
        <v>1.21</v>
      </c>
      <c r="AS103" s="5">
        <v>1.1200000000000001</v>
      </c>
      <c r="AT103" s="5">
        <v>20.83</v>
      </c>
      <c r="AU103" s="5">
        <v>0.11</v>
      </c>
      <c r="AV103" s="5">
        <v>0.18</v>
      </c>
      <c r="AW103" s="5">
        <v>13.54</v>
      </c>
      <c r="AX103" s="5">
        <v>16.399999999999999</v>
      </c>
      <c r="AY103" s="5">
        <v>0.03</v>
      </c>
      <c r="BB103" s="5">
        <v>33.340000000000003</v>
      </c>
    </row>
    <row r="104" spans="1:54" x14ac:dyDescent="0.3">
      <c r="A104" s="1" t="s">
        <v>14</v>
      </c>
      <c r="B104" s="1" t="s">
        <v>15</v>
      </c>
      <c r="C104" s="1" t="s">
        <v>16</v>
      </c>
      <c r="D104" s="5">
        <v>42.32</v>
      </c>
      <c r="E104" s="5">
        <v>126.42</v>
      </c>
      <c r="F104" s="1" t="s">
        <v>17</v>
      </c>
      <c r="G104" s="5" t="s">
        <v>144</v>
      </c>
      <c r="H104" s="5" t="s">
        <v>139</v>
      </c>
      <c r="I104" s="6">
        <v>2.54822189162951E-5</v>
      </c>
      <c r="J104" s="3" t="s">
        <v>445</v>
      </c>
      <c r="K104" s="5">
        <v>47.62</v>
      </c>
      <c r="L104" s="5">
        <v>0.2</v>
      </c>
      <c r="M104" s="5">
        <v>5.55</v>
      </c>
      <c r="N104" s="5">
        <v>7.68</v>
      </c>
      <c r="O104" s="5">
        <v>3.69</v>
      </c>
      <c r="P104" s="5">
        <v>2.0099999999999998</v>
      </c>
      <c r="Q104" s="5">
        <v>0</v>
      </c>
      <c r="R104" s="5">
        <v>0</v>
      </c>
      <c r="W104" s="5">
        <v>89.7</v>
      </c>
      <c r="X104" s="5">
        <v>802.87</v>
      </c>
      <c r="Y104" s="5">
        <v>7.69</v>
      </c>
      <c r="Z104" s="5">
        <v>10.7</v>
      </c>
      <c r="AA104" s="5">
        <v>1.52</v>
      </c>
      <c r="AB104" s="5">
        <v>72.760000000000005</v>
      </c>
      <c r="AC104" s="5">
        <v>5.57</v>
      </c>
      <c r="AD104" s="5">
        <v>58.67</v>
      </c>
      <c r="AE104" s="5">
        <v>109.51</v>
      </c>
      <c r="AH104" s="5">
        <v>1.7</v>
      </c>
      <c r="AI104" s="5">
        <v>967.76</v>
      </c>
      <c r="AJ104" s="5">
        <v>21.56</v>
      </c>
      <c r="AK104" s="5">
        <v>264.69</v>
      </c>
      <c r="AL104" s="5">
        <v>7.08</v>
      </c>
      <c r="AM104" s="5">
        <v>13604.11</v>
      </c>
      <c r="AN104" s="5">
        <v>2880.24</v>
      </c>
      <c r="AO104" s="5">
        <v>3.2764705882352945</v>
      </c>
      <c r="AP104" s="5">
        <v>12.28</v>
      </c>
      <c r="AQ104" s="5">
        <v>6.8</v>
      </c>
      <c r="AR104" s="5">
        <v>1.24</v>
      </c>
      <c r="AS104" s="5">
        <v>1.23</v>
      </c>
      <c r="AT104" s="5">
        <v>20.47</v>
      </c>
      <c r="AU104" s="5">
        <v>0.11</v>
      </c>
      <c r="AV104" s="5">
        <v>0.2</v>
      </c>
      <c r="AW104" s="5">
        <v>13.3</v>
      </c>
      <c r="AX104" s="5">
        <v>16.489999999999998</v>
      </c>
      <c r="AY104" s="5">
        <v>0.02</v>
      </c>
      <c r="BB104" s="5">
        <v>42.8</v>
      </c>
    </row>
    <row r="105" spans="1:54" x14ac:dyDescent="0.3">
      <c r="A105" s="1" t="s">
        <v>14</v>
      </c>
      <c r="B105" s="1" t="s">
        <v>15</v>
      </c>
      <c r="C105" s="1" t="s">
        <v>16</v>
      </c>
      <c r="D105" s="5">
        <v>42.32</v>
      </c>
      <c r="E105" s="5">
        <v>126.42</v>
      </c>
      <c r="F105" s="1" t="s">
        <v>17</v>
      </c>
      <c r="G105" s="5" t="s">
        <v>145</v>
      </c>
      <c r="H105" s="5" t="s">
        <v>139</v>
      </c>
      <c r="I105" s="6">
        <v>4.8110919306054711E-4</v>
      </c>
      <c r="J105" s="3" t="s">
        <v>445</v>
      </c>
      <c r="K105" s="5">
        <v>48.88</v>
      </c>
      <c r="L105" s="5">
        <v>0.18</v>
      </c>
      <c r="M105" s="5">
        <v>5.67</v>
      </c>
      <c r="N105" s="5">
        <v>6.75</v>
      </c>
      <c r="O105" s="5">
        <v>4.1500000000000004</v>
      </c>
      <c r="P105" s="5">
        <v>2.69</v>
      </c>
      <c r="Q105" s="5">
        <v>0</v>
      </c>
      <c r="R105" s="5">
        <v>0</v>
      </c>
      <c r="W105" s="5">
        <v>76.47</v>
      </c>
      <c r="X105" s="5">
        <v>805.65</v>
      </c>
      <c r="Y105" s="5">
        <v>7.69</v>
      </c>
      <c r="Z105" s="5">
        <v>9.67</v>
      </c>
      <c r="AA105" s="5">
        <v>1.86</v>
      </c>
      <c r="AB105" s="5">
        <v>61.02</v>
      </c>
      <c r="AC105" s="5">
        <v>5.69</v>
      </c>
      <c r="AD105" s="5">
        <v>57.67</v>
      </c>
      <c r="AE105" s="5">
        <v>108.81</v>
      </c>
      <c r="AH105" s="5">
        <v>2.27</v>
      </c>
      <c r="AI105" s="5">
        <v>951.38</v>
      </c>
      <c r="AJ105" s="5">
        <v>23.4</v>
      </c>
      <c r="AK105" s="5">
        <v>238.21</v>
      </c>
      <c r="AL105" s="5">
        <v>5.62</v>
      </c>
      <c r="AM105" s="5">
        <v>12825.02</v>
      </c>
      <c r="AN105" s="5">
        <v>3054.8</v>
      </c>
      <c r="AO105" s="5">
        <v>2.5066079295154187</v>
      </c>
      <c r="AP105" s="5">
        <v>10.18</v>
      </c>
      <c r="AQ105" s="5">
        <v>6.31</v>
      </c>
      <c r="AR105" s="5">
        <v>1.06</v>
      </c>
      <c r="AS105" s="5">
        <v>1.25</v>
      </c>
      <c r="AT105" s="5">
        <v>19.84</v>
      </c>
      <c r="AU105" s="5">
        <v>0.13</v>
      </c>
      <c r="AV105" s="5">
        <v>0.19</v>
      </c>
      <c r="AW105" s="5">
        <v>15.59</v>
      </c>
      <c r="AX105" s="5">
        <v>16.5</v>
      </c>
      <c r="AY105" s="5">
        <v>0.03</v>
      </c>
      <c r="BB105" s="5">
        <v>26.88</v>
      </c>
    </row>
    <row r="106" spans="1:54" x14ac:dyDescent="0.3">
      <c r="A106" s="1" t="s">
        <v>14</v>
      </c>
      <c r="B106" s="1" t="s">
        <v>15</v>
      </c>
      <c r="C106" s="1" t="s">
        <v>16</v>
      </c>
      <c r="D106" s="5">
        <v>42.32</v>
      </c>
      <c r="E106" s="5">
        <v>126.42</v>
      </c>
      <c r="F106" s="1" t="s">
        <v>17</v>
      </c>
      <c r="G106" s="5" t="s">
        <v>146</v>
      </c>
      <c r="H106" s="5" t="s">
        <v>139</v>
      </c>
      <c r="I106" s="6">
        <v>5.0408387323841453E-4</v>
      </c>
      <c r="J106" s="3" t="s">
        <v>445</v>
      </c>
      <c r="K106" s="5">
        <v>46.81</v>
      </c>
      <c r="L106" s="5">
        <v>0.2</v>
      </c>
      <c r="M106" s="5">
        <v>7.34</v>
      </c>
      <c r="N106" s="5">
        <v>8.08</v>
      </c>
      <c r="O106" s="5">
        <v>3.48</v>
      </c>
      <c r="P106" s="5">
        <v>2.2000000000000002</v>
      </c>
      <c r="Q106" s="5">
        <v>0</v>
      </c>
      <c r="R106" s="5">
        <v>0</v>
      </c>
      <c r="W106" s="5">
        <v>60.58</v>
      </c>
      <c r="X106" s="5">
        <v>736.47</v>
      </c>
      <c r="Y106" s="5">
        <v>8.15</v>
      </c>
      <c r="Z106" s="5">
        <v>7.2</v>
      </c>
      <c r="AA106" s="5">
        <v>1.36</v>
      </c>
      <c r="AB106" s="5">
        <v>46.27</v>
      </c>
      <c r="AC106" s="5">
        <v>3.65</v>
      </c>
      <c r="AD106" s="5">
        <v>42.63</v>
      </c>
      <c r="AE106" s="5">
        <v>86.2</v>
      </c>
      <c r="AH106" s="5">
        <v>2.0499999999999998</v>
      </c>
      <c r="AI106" s="5">
        <v>732.18</v>
      </c>
      <c r="AJ106" s="5">
        <v>22.33</v>
      </c>
      <c r="AK106" s="5">
        <v>199.87</v>
      </c>
      <c r="AL106" s="5">
        <v>4.63</v>
      </c>
      <c r="AM106" s="5">
        <v>14862.64</v>
      </c>
      <c r="AN106" s="5">
        <v>2182</v>
      </c>
      <c r="AO106" s="5">
        <v>1.7804878048780488</v>
      </c>
      <c r="AP106" s="5">
        <v>8.9499999999999993</v>
      </c>
      <c r="AQ106" s="5">
        <v>6.43</v>
      </c>
      <c r="AR106" s="5">
        <v>1.0900000000000001</v>
      </c>
      <c r="AS106" s="5">
        <v>1.31</v>
      </c>
      <c r="AT106" s="5">
        <v>22.47</v>
      </c>
      <c r="AU106" s="5">
        <v>0.18</v>
      </c>
      <c r="AV106" s="5">
        <v>0.25</v>
      </c>
      <c r="AW106" s="5">
        <v>15.82</v>
      </c>
      <c r="AX106" s="5">
        <v>17.18</v>
      </c>
      <c r="AY106" s="5">
        <v>0.03</v>
      </c>
      <c r="BB106" s="5">
        <v>22.57</v>
      </c>
    </row>
    <row r="107" spans="1:54" x14ac:dyDescent="0.3">
      <c r="A107" s="1" t="s">
        <v>14</v>
      </c>
      <c r="B107" s="1" t="s">
        <v>15</v>
      </c>
      <c r="C107" s="1" t="s">
        <v>16</v>
      </c>
      <c r="D107" s="5">
        <v>49</v>
      </c>
      <c r="E107" s="5">
        <v>126.25</v>
      </c>
      <c r="F107" s="1" t="s">
        <v>17</v>
      </c>
      <c r="G107" s="5" t="s">
        <v>147</v>
      </c>
      <c r="H107" s="5" t="s">
        <v>148</v>
      </c>
      <c r="I107" s="6">
        <v>1.5728456492070109E-4</v>
      </c>
      <c r="J107" s="3" t="s">
        <v>445</v>
      </c>
      <c r="K107" s="5">
        <v>51.9075015327792</v>
      </c>
      <c r="L107" s="5">
        <v>0.109834753694658</v>
      </c>
      <c r="M107" s="5">
        <v>7.2259176031595898</v>
      </c>
      <c r="N107" s="5">
        <v>5.7224914333207799</v>
      </c>
      <c r="O107" s="5">
        <v>3.2849660279319801</v>
      </c>
      <c r="P107" s="5">
        <v>5.4917376847329198</v>
      </c>
      <c r="Q107" s="5">
        <v>12.316958037722804</v>
      </c>
      <c r="R107" s="5">
        <v>118.11594784399333</v>
      </c>
      <c r="W107" s="5">
        <v>97.65</v>
      </c>
      <c r="X107" s="5">
        <v>1490.32</v>
      </c>
      <c r="Y107" s="5">
        <v>14.13</v>
      </c>
      <c r="Z107" s="5">
        <v>6.63</v>
      </c>
      <c r="AA107" s="5">
        <v>1.41</v>
      </c>
      <c r="AB107" s="5">
        <v>63.61</v>
      </c>
      <c r="AC107" s="5">
        <v>3.12</v>
      </c>
      <c r="AD107" s="5">
        <v>89.87</v>
      </c>
      <c r="AE107" s="5">
        <v>162.12</v>
      </c>
      <c r="AH107" s="5">
        <v>1.23609238343969</v>
      </c>
      <c r="AI107" s="5">
        <v>1823.5</v>
      </c>
      <c r="AJ107" s="5">
        <v>21.02</v>
      </c>
      <c r="AK107" s="5">
        <v>421.87</v>
      </c>
      <c r="AL107" s="5">
        <v>10.127930523404409</v>
      </c>
      <c r="AM107" s="5">
        <v>14161.21</v>
      </c>
      <c r="AN107" s="5">
        <v>4670.0600000000004</v>
      </c>
      <c r="AO107" s="5">
        <v>2.5240831848813245</v>
      </c>
      <c r="AP107" s="5">
        <v>20.07</v>
      </c>
      <c r="AQ107" s="5">
        <v>9.59</v>
      </c>
      <c r="AR107" s="5">
        <v>0.71</v>
      </c>
      <c r="AS107" s="5">
        <v>1.54</v>
      </c>
      <c r="AT107" s="5">
        <v>21.48</v>
      </c>
      <c r="AU107" s="5">
        <v>0.22</v>
      </c>
      <c r="AV107" s="5">
        <v>0.2</v>
      </c>
      <c r="AW107" s="5">
        <v>28.67</v>
      </c>
      <c r="AX107" s="5">
        <v>20.29</v>
      </c>
      <c r="AY107" s="5">
        <v>0.02</v>
      </c>
      <c r="BB107" s="5">
        <v>51.46</v>
      </c>
    </row>
    <row r="108" spans="1:54" x14ac:dyDescent="0.3">
      <c r="A108" s="1" t="s">
        <v>14</v>
      </c>
      <c r="B108" s="1" t="s">
        <v>15</v>
      </c>
      <c r="C108" s="1" t="s">
        <v>16</v>
      </c>
      <c r="D108" s="5">
        <v>49</v>
      </c>
      <c r="E108" s="5">
        <v>126.25</v>
      </c>
      <c r="F108" s="1" t="s">
        <v>17</v>
      </c>
      <c r="G108" s="5" t="s">
        <v>149</v>
      </c>
      <c r="H108" s="5" t="s">
        <v>148</v>
      </c>
      <c r="I108" s="6">
        <v>1.5587991219945249E-4</v>
      </c>
      <c r="J108" s="3" t="s">
        <v>445</v>
      </c>
      <c r="K108" s="5">
        <v>51.771175012653799</v>
      </c>
      <c r="L108" s="5">
        <v>0.107279243680167</v>
      </c>
      <c r="M108" s="5">
        <v>6.6483331291792203</v>
      </c>
      <c r="N108" s="5">
        <v>5.6838132623880897</v>
      </c>
      <c r="O108" s="5">
        <v>3.97429864781803</v>
      </c>
      <c r="P108" s="5">
        <v>4.6487672261405502</v>
      </c>
      <c r="Q108" s="5">
        <v>12.229681649198554</v>
      </c>
      <c r="R108" s="5">
        <v>120.00212136484016</v>
      </c>
      <c r="W108" s="5">
        <v>102.76</v>
      </c>
      <c r="X108" s="5">
        <v>1005.85</v>
      </c>
      <c r="Y108" s="5">
        <v>12.71</v>
      </c>
      <c r="Z108" s="5">
        <v>6.56</v>
      </c>
      <c r="AA108" s="5">
        <v>1.42</v>
      </c>
      <c r="AB108" s="5">
        <v>63.81</v>
      </c>
      <c r="AC108" s="5">
        <v>3.09</v>
      </c>
      <c r="AD108" s="5">
        <v>90.2</v>
      </c>
      <c r="AE108" s="5">
        <v>160.9</v>
      </c>
      <c r="AH108" s="5">
        <v>1.20314351289126</v>
      </c>
      <c r="AI108" s="5">
        <v>1247.8699999999999</v>
      </c>
      <c r="AJ108" s="5">
        <v>20.63</v>
      </c>
      <c r="AK108" s="5">
        <v>425.18</v>
      </c>
      <c r="AL108" s="5">
        <v>10.082926516707943</v>
      </c>
      <c r="AM108" s="5">
        <v>14269.35</v>
      </c>
      <c r="AN108" s="5">
        <v>4699.01</v>
      </c>
      <c r="AO108" s="5">
        <v>2.5682721694392527</v>
      </c>
      <c r="AP108" s="5">
        <v>20.61</v>
      </c>
      <c r="AQ108" s="5">
        <v>9.73</v>
      </c>
      <c r="AR108" s="5">
        <v>0.71</v>
      </c>
      <c r="AS108" s="5">
        <v>1.61</v>
      </c>
      <c r="AT108" s="5">
        <v>14.67</v>
      </c>
      <c r="AU108" s="5">
        <v>0.2</v>
      </c>
      <c r="AV108" s="5">
        <v>0.19</v>
      </c>
      <c r="AW108" s="5">
        <v>19.559999999999999</v>
      </c>
      <c r="AX108" s="5">
        <v>13.83</v>
      </c>
      <c r="AY108" s="5">
        <v>0.02</v>
      </c>
      <c r="BB108" s="5">
        <v>53.04</v>
      </c>
    </row>
    <row r="109" spans="1:54" x14ac:dyDescent="0.3">
      <c r="A109" s="1" t="s">
        <v>14</v>
      </c>
      <c r="B109" s="1" t="s">
        <v>15</v>
      </c>
      <c r="C109" s="1" t="s">
        <v>16</v>
      </c>
      <c r="D109" s="5">
        <v>48</v>
      </c>
      <c r="E109" s="5">
        <v>127</v>
      </c>
      <c r="F109" s="1" t="s">
        <v>17</v>
      </c>
      <c r="G109" s="5" t="s">
        <v>150</v>
      </c>
      <c r="H109" s="5" t="s">
        <v>148</v>
      </c>
      <c r="I109" s="6">
        <v>2.5419468875043089E-4</v>
      </c>
      <c r="J109" s="3" t="s">
        <v>445</v>
      </c>
      <c r="K109" s="5">
        <v>50.6875536388158</v>
      </c>
      <c r="L109" s="5">
        <v>0.124512522203592</v>
      </c>
      <c r="M109" s="5">
        <v>6.4109007432185399</v>
      </c>
      <c r="N109" s="5">
        <v>6.8242823169344602</v>
      </c>
      <c r="O109" s="5">
        <v>3.3269745932799699</v>
      </c>
      <c r="P109" s="5">
        <v>4.9396607808609003</v>
      </c>
      <c r="Q109" s="5">
        <v>12.712388485700941</v>
      </c>
      <c r="R109" s="5">
        <v>144.88881695443172</v>
      </c>
      <c r="W109" s="5">
        <v>94.93</v>
      </c>
      <c r="X109" s="5">
        <v>1389.3</v>
      </c>
      <c r="Y109" s="5">
        <v>17.14</v>
      </c>
      <c r="Z109" s="5">
        <v>8.4</v>
      </c>
      <c r="AA109" s="5">
        <v>1.79</v>
      </c>
      <c r="AB109" s="5">
        <v>75.33</v>
      </c>
      <c r="AC109" s="5">
        <v>3.71</v>
      </c>
      <c r="AD109" s="5">
        <v>93.11</v>
      </c>
      <c r="AE109" s="5">
        <v>171.16</v>
      </c>
      <c r="AH109" s="5">
        <v>1.3914421731148101</v>
      </c>
      <c r="AI109" s="5">
        <v>1797.42</v>
      </c>
      <c r="AJ109" s="5">
        <v>23.14</v>
      </c>
      <c r="AK109" s="5">
        <v>389.31</v>
      </c>
      <c r="AL109" s="5">
        <v>9.5740903415481284</v>
      </c>
      <c r="AM109" s="5">
        <v>14870.34</v>
      </c>
      <c r="AN109" s="5">
        <v>4790.37</v>
      </c>
      <c r="AO109" s="5">
        <v>2.6662983713473243</v>
      </c>
      <c r="AP109" s="5">
        <v>16.82</v>
      </c>
      <c r="AQ109" s="5">
        <v>8.9700000000000006</v>
      </c>
      <c r="AR109" s="5">
        <v>0.81</v>
      </c>
      <c r="AS109" s="5">
        <v>1.26</v>
      </c>
      <c r="AT109" s="5">
        <v>19.440000000000001</v>
      </c>
      <c r="AU109" s="5">
        <v>0.23</v>
      </c>
      <c r="AV109" s="5">
        <v>0.24</v>
      </c>
      <c r="AW109" s="5">
        <v>23.86</v>
      </c>
      <c r="AX109" s="5">
        <v>19.3</v>
      </c>
      <c r="AY109" s="5">
        <v>0.02</v>
      </c>
      <c r="BB109" s="5">
        <v>54.14</v>
      </c>
    </row>
    <row r="110" spans="1:54" x14ac:dyDescent="0.3">
      <c r="A110" s="1" t="s">
        <v>14</v>
      </c>
      <c r="B110" s="1" t="s">
        <v>15</v>
      </c>
      <c r="C110" s="1" t="s">
        <v>16</v>
      </c>
      <c r="D110" s="5">
        <v>48.72</v>
      </c>
      <c r="E110" s="5">
        <v>126.12</v>
      </c>
      <c r="F110" s="1" t="s">
        <v>17</v>
      </c>
      <c r="G110" s="5" t="s">
        <v>151</v>
      </c>
      <c r="H110" s="5" t="s">
        <v>148</v>
      </c>
      <c r="I110" s="6">
        <v>3.4433003747835761E-4</v>
      </c>
      <c r="J110" s="3" t="s">
        <v>445</v>
      </c>
      <c r="K110" s="5">
        <v>50.614383489710498</v>
      </c>
      <c r="L110" s="5">
        <v>0.13064110419057201</v>
      </c>
      <c r="M110" s="5">
        <v>7.8414810461464199</v>
      </c>
      <c r="N110" s="5">
        <v>7.4967895173974499</v>
      </c>
      <c r="O110" s="5">
        <v>3.49816679759524</v>
      </c>
      <c r="P110" s="5">
        <v>4.2679443807489204</v>
      </c>
      <c r="Q110" s="5">
        <v>14.770782413069892</v>
      </c>
      <c r="R110" s="5">
        <v>144.99591682737227</v>
      </c>
      <c r="W110" s="5">
        <v>78.86</v>
      </c>
      <c r="X110" s="5">
        <v>1599.39</v>
      </c>
      <c r="Y110" s="5">
        <v>12.8</v>
      </c>
      <c r="Z110" s="5">
        <v>7.71</v>
      </c>
      <c r="AA110" s="5">
        <v>1.54</v>
      </c>
      <c r="AB110" s="5">
        <v>61.63</v>
      </c>
      <c r="AC110" s="5">
        <v>2.98</v>
      </c>
      <c r="AD110" s="5">
        <v>94.23</v>
      </c>
      <c r="AE110" s="5">
        <v>169.78</v>
      </c>
      <c r="AH110" s="5">
        <v>1.41225585205771</v>
      </c>
      <c r="AI110" s="5">
        <v>1678.61</v>
      </c>
      <c r="AJ110" s="5">
        <v>24.75</v>
      </c>
      <c r="AK110" s="5">
        <v>337.97</v>
      </c>
      <c r="AL110" s="5">
        <v>8.1124260522457909</v>
      </c>
      <c r="AM110" s="5">
        <v>12966.56</v>
      </c>
      <c r="AN110" s="5">
        <v>4271.5</v>
      </c>
      <c r="AO110" s="5">
        <v>2.1100992399203218</v>
      </c>
      <c r="AP110" s="5">
        <v>13.65</v>
      </c>
      <c r="AQ110" s="5">
        <v>7.99</v>
      </c>
      <c r="AR110" s="5">
        <v>0.65</v>
      </c>
      <c r="AS110" s="5">
        <v>1.28</v>
      </c>
      <c r="AT110" s="5">
        <v>22.08</v>
      </c>
      <c r="AU110" s="5">
        <v>0.21</v>
      </c>
      <c r="AV110" s="5">
        <v>0.18</v>
      </c>
      <c r="AW110" s="5">
        <v>27.24</v>
      </c>
      <c r="AX110" s="5">
        <v>17.809999999999999</v>
      </c>
      <c r="AY110" s="5">
        <v>0.02</v>
      </c>
      <c r="BB110" s="5">
        <v>43.64</v>
      </c>
    </row>
    <row r="111" spans="1:54" x14ac:dyDescent="0.3">
      <c r="A111" s="1" t="s">
        <v>14</v>
      </c>
      <c r="B111" s="1" t="s">
        <v>15</v>
      </c>
      <c r="C111" s="1" t="s">
        <v>16</v>
      </c>
      <c r="D111" s="5">
        <v>48</v>
      </c>
      <c r="E111" s="5">
        <v>127</v>
      </c>
      <c r="F111" s="1" t="s">
        <v>17</v>
      </c>
      <c r="G111" s="5" t="s">
        <v>152</v>
      </c>
      <c r="H111" s="5" t="s">
        <v>148</v>
      </c>
      <c r="I111" s="6">
        <v>1.9476057786960149E-4</v>
      </c>
      <c r="J111" s="3" t="s">
        <v>445</v>
      </c>
      <c r="K111" s="5">
        <v>50.059162759768903</v>
      </c>
      <c r="L111" s="5">
        <v>0.13127491091460999</v>
      </c>
      <c r="M111" s="5">
        <v>8.0047401447700999</v>
      </c>
      <c r="N111" s="5">
        <v>7.1575120658673503</v>
      </c>
      <c r="O111" s="5">
        <v>3.6322758043065502</v>
      </c>
      <c r="P111" s="5">
        <v>4.77941656429884</v>
      </c>
      <c r="Q111" s="5">
        <v>12.596801776715751</v>
      </c>
      <c r="R111" s="5">
        <v>141.12034237664409</v>
      </c>
      <c r="W111" s="5">
        <v>86.91</v>
      </c>
      <c r="X111" s="5">
        <v>1539.66</v>
      </c>
      <c r="Y111" s="5">
        <v>14.77</v>
      </c>
      <c r="Z111" s="5">
        <v>8.32</v>
      </c>
      <c r="AA111" s="5">
        <v>1.76</v>
      </c>
      <c r="AB111" s="5">
        <v>73.819999999999993</v>
      </c>
      <c r="AC111" s="5">
        <v>3.53</v>
      </c>
      <c r="AD111" s="5">
        <v>95.91</v>
      </c>
      <c r="AE111" s="5">
        <v>171.3</v>
      </c>
      <c r="AH111" s="5">
        <v>1.4067775814118899</v>
      </c>
      <c r="AI111" s="5">
        <v>1722.83</v>
      </c>
      <c r="AJ111" s="5">
        <v>24.97</v>
      </c>
      <c r="AK111" s="5">
        <v>379.99</v>
      </c>
      <c r="AL111" s="5">
        <v>9.1105984153796946</v>
      </c>
      <c r="AM111" s="5">
        <v>13549.92</v>
      </c>
      <c r="AN111" s="5">
        <v>4816.63</v>
      </c>
      <c r="AO111" s="5">
        <v>2.5092808178370114</v>
      </c>
      <c r="AP111" s="5">
        <v>15.22</v>
      </c>
      <c r="AQ111" s="5">
        <v>8.8699999999999992</v>
      </c>
      <c r="AR111" s="5">
        <v>0.77</v>
      </c>
      <c r="AS111" s="5">
        <v>1.18</v>
      </c>
      <c r="AT111" s="5">
        <v>21.07</v>
      </c>
      <c r="AU111" s="5">
        <v>0.2</v>
      </c>
      <c r="AV111" s="5">
        <v>0.2</v>
      </c>
      <c r="AW111" s="5">
        <v>23.34</v>
      </c>
      <c r="AX111" s="5">
        <v>17.96</v>
      </c>
      <c r="AY111" s="5">
        <v>0.02</v>
      </c>
      <c r="BB111" s="5">
        <v>52.48</v>
      </c>
    </row>
    <row r="112" spans="1:54" x14ac:dyDescent="0.3">
      <c r="A112" s="1" t="s">
        <v>14</v>
      </c>
      <c r="B112" s="1" t="s">
        <v>15</v>
      </c>
      <c r="C112" s="1" t="s">
        <v>16</v>
      </c>
      <c r="D112" s="5">
        <v>48</v>
      </c>
      <c r="E112" s="5">
        <v>127</v>
      </c>
      <c r="F112" s="1" t="s">
        <v>17</v>
      </c>
      <c r="G112" s="5" t="s">
        <v>153</v>
      </c>
      <c r="H112" s="5" t="s">
        <v>148</v>
      </c>
      <c r="I112" s="6">
        <v>4.2456047958694398E-4</v>
      </c>
      <c r="J112" s="3" t="s">
        <v>445</v>
      </c>
      <c r="K112" s="5">
        <v>51.752872609867602</v>
      </c>
      <c r="L112" s="5">
        <v>0.10494296409949801</v>
      </c>
      <c r="M112" s="5">
        <v>6.4984681197612897</v>
      </c>
      <c r="N112" s="5">
        <v>5.7198912718231103</v>
      </c>
      <c r="O112" s="5">
        <v>3.5790548041933499</v>
      </c>
      <c r="P112" s="5">
        <v>5.3021183290270102</v>
      </c>
      <c r="Q112" s="5">
        <v>10.444299874780395</v>
      </c>
      <c r="R112" s="5">
        <v>118.18901570965416</v>
      </c>
      <c r="W112" s="5">
        <v>92.42</v>
      </c>
      <c r="X112" s="5">
        <v>1473.83</v>
      </c>
      <c r="Y112" s="5">
        <v>10.57</v>
      </c>
      <c r="Z112" s="5">
        <v>7.04</v>
      </c>
      <c r="AA112" s="5">
        <v>1.49</v>
      </c>
      <c r="AB112" s="5">
        <v>69.36</v>
      </c>
      <c r="AC112" s="5">
        <v>3.17</v>
      </c>
      <c r="AD112" s="5">
        <v>98.71</v>
      </c>
      <c r="AE112" s="5">
        <v>180.7</v>
      </c>
      <c r="AH112" s="5">
        <v>1.1571724945400701</v>
      </c>
      <c r="AI112" s="5">
        <v>1642.33</v>
      </c>
      <c r="AJ112" s="5">
        <v>22.11</v>
      </c>
      <c r="AK112" s="5">
        <v>364.41</v>
      </c>
      <c r="AL112" s="5">
        <v>8.4878156243647283</v>
      </c>
      <c r="AM112" s="5">
        <v>14561.07</v>
      </c>
      <c r="AN112" s="5">
        <v>5595.97</v>
      </c>
      <c r="AO112" s="5">
        <v>2.7394360088553165</v>
      </c>
      <c r="AP112" s="5">
        <v>16.48</v>
      </c>
      <c r="AQ112" s="5">
        <v>9.86</v>
      </c>
      <c r="AR112" s="5">
        <v>0.7</v>
      </c>
      <c r="AS112" s="5">
        <v>1.33</v>
      </c>
      <c r="AT112" s="5">
        <v>19.010000000000002</v>
      </c>
      <c r="AU112" s="5">
        <v>0.15</v>
      </c>
      <c r="AV112" s="5">
        <v>0.14000000000000001</v>
      </c>
      <c r="AW112" s="5">
        <v>23.68</v>
      </c>
      <c r="AX112" s="5">
        <v>16.64</v>
      </c>
      <c r="AY112" s="5">
        <v>0.02</v>
      </c>
      <c r="BB112" s="5">
        <v>59.94</v>
      </c>
    </row>
    <row r="113" spans="1:54" x14ac:dyDescent="0.3">
      <c r="A113" s="1" t="s">
        <v>14</v>
      </c>
      <c r="B113" s="1" t="s">
        <v>15</v>
      </c>
      <c r="C113" s="1" t="s">
        <v>16</v>
      </c>
      <c r="D113" s="5">
        <v>48</v>
      </c>
      <c r="E113" s="5">
        <v>127</v>
      </c>
      <c r="F113" s="1" t="s">
        <v>17</v>
      </c>
      <c r="G113" s="5" t="s">
        <v>154</v>
      </c>
      <c r="H113" s="5" t="s">
        <v>148</v>
      </c>
      <c r="I113" s="6">
        <v>4.000210901722312E-4</v>
      </c>
      <c r="J113" s="3" t="s">
        <v>445</v>
      </c>
      <c r="K113" s="5">
        <v>51.8014990088069</v>
      </c>
      <c r="L113" s="5">
        <v>0.107553320926406</v>
      </c>
      <c r="M113" s="5">
        <v>6.3185063116204496</v>
      </c>
      <c r="N113" s="5">
        <v>5.7797345357648098</v>
      </c>
      <c r="O113" s="5">
        <v>3.7201386985853202</v>
      </c>
      <c r="P113" s="5">
        <v>5.2098024519772199</v>
      </c>
      <c r="Q113" s="5">
        <v>10.575119865075722</v>
      </c>
      <c r="R113" s="5">
        <v>121.07836105058898</v>
      </c>
      <c r="W113" s="5">
        <v>95.3</v>
      </c>
      <c r="X113" s="5">
        <v>1755.84</v>
      </c>
      <c r="Y113" s="5">
        <v>14.79</v>
      </c>
      <c r="Z113" s="5">
        <v>7.28</v>
      </c>
      <c r="AA113" s="5">
        <v>1.53</v>
      </c>
      <c r="AB113" s="5">
        <v>68.959999999999994</v>
      </c>
      <c r="AC113" s="5">
        <v>3.21</v>
      </c>
      <c r="AD113" s="5">
        <v>99.65</v>
      </c>
      <c r="AE113" s="5">
        <v>180.16</v>
      </c>
      <c r="AH113" s="5">
        <v>1.1680436481699801</v>
      </c>
      <c r="AI113" s="5">
        <v>1831.68</v>
      </c>
      <c r="AJ113" s="5">
        <v>22.11</v>
      </c>
      <c r="AK113" s="5">
        <v>366.99</v>
      </c>
      <c r="AL113" s="5">
        <v>8.6235791256433139</v>
      </c>
      <c r="AM113" s="5">
        <v>14650.35</v>
      </c>
      <c r="AN113" s="5">
        <v>5601.65</v>
      </c>
      <c r="AO113" s="5">
        <v>2.7481849715370084</v>
      </c>
      <c r="AP113" s="5">
        <v>16.600000000000001</v>
      </c>
      <c r="AQ113" s="5">
        <v>9.4700000000000006</v>
      </c>
      <c r="AR113" s="5">
        <v>0.69</v>
      </c>
      <c r="AS113" s="5">
        <v>1.38</v>
      </c>
      <c r="AT113" s="5">
        <v>22.36</v>
      </c>
      <c r="AU113" s="5">
        <v>0.21</v>
      </c>
      <c r="AV113" s="5">
        <v>0.19</v>
      </c>
      <c r="AW113" s="5">
        <v>26.56</v>
      </c>
      <c r="AX113" s="5">
        <v>18.38</v>
      </c>
      <c r="AY113" s="5">
        <v>0.02</v>
      </c>
      <c r="BB113" s="5">
        <v>59.04</v>
      </c>
    </row>
    <row r="114" spans="1:54" x14ac:dyDescent="0.3">
      <c r="A114" s="1" t="s">
        <v>14</v>
      </c>
      <c r="B114" s="1" t="s">
        <v>15</v>
      </c>
      <c r="C114" s="1" t="s">
        <v>16</v>
      </c>
      <c r="D114" s="5">
        <v>48.719499999999996</v>
      </c>
      <c r="E114" s="5">
        <v>126.1352</v>
      </c>
      <c r="F114" s="1" t="s">
        <v>17</v>
      </c>
      <c r="G114" s="5" t="s">
        <v>155</v>
      </c>
      <c r="H114" s="5" t="s">
        <v>156</v>
      </c>
      <c r="I114" s="6">
        <v>8.6394291429314762E-5</v>
      </c>
      <c r="J114" s="3" t="s">
        <v>445</v>
      </c>
      <c r="K114" s="5">
        <v>48.51</v>
      </c>
      <c r="L114" s="5">
        <v>0.13700000000000001</v>
      </c>
      <c r="M114" s="5">
        <v>8.07</v>
      </c>
      <c r="N114" s="5">
        <v>7.56</v>
      </c>
      <c r="O114" s="5">
        <v>4.0519999999999996</v>
      </c>
      <c r="P114" s="5">
        <v>4.6520000000000001</v>
      </c>
      <c r="Q114" s="5">
        <v>13.456078558874697</v>
      </c>
      <c r="R114" s="5">
        <v>137.67300575902073</v>
      </c>
      <c r="W114" s="5">
        <v>87.7</v>
      </c>
      <c r="X114" s="5">
        <v>1617.14</v>
      </c>
      <c r="Y114" s="5">
        <v>12.83</v>
      </c>
      <c r="Z114" s="5">
        <v>8.7899999999999991</v>
      </c>
      <c r="AA114" s="5">
        <v>1.66</v>
      </c>
      <c r="AB114" s="5">
        <v>75.19</v>
      </c>
      <c r="AC114" s="5">
        <v>3.58</v>
      </c>
      <c r="AD114" s="5">
        <v>97.6</v>
      </c>
      <c r="AE114" s="5">
        <v>177.59</v>
      </c>
      <c r="AH114" s="5">
        <v>1.38081070917659</v>
      </c>
      <c r="AI114" s="5">
        <v>1759.76</v>
      </c>
      <c r="AJ114" s="5">
        <v>24.9</v>
      </c>
      <c r="AK114" s="5">
        <v>393.91</v>
      </c>
      <c r="AL114" s="5">
        <v>8.778436431586309</v>
      </c>
      <c r="AM114" s="5">
        <v>13957.7</v>
      </c>
      <c r="AN114" s="5">
        <v>4918.2299999999996</v>
      </c>
      <c r="AO114" s="5">
        <v>2.5926797758795184</v>
      </c>
      <c r="AP114" s="5">
        <v>15.82</v>
      </c>
      <c r="AQ114" s="5">
        <v>8.5500000000000007</v>
      </c>
      <c r="AR114" s="5">
        <v>0.77</v>
      </c>
      <c r="AS114" s="5">
        <v>1.17</v>
      </c>
      <c r="AT114" s="5">
        <v>20.8</v>
      </c>
      <c r="AU114" s="5">
        <v>0.17</v>
      </c>
      <c r="AV114" s="5">
        <v>0.17</v>
      </c>
      <c r="AW114" s="5">
        <v>23.4</v>
      </c>
      <c r="AX114" s="5">
        <v>18.03</v>
      </c>
      <c r="AY114" s="5">
        <v>0.02</v>
      </c>
      <c r="BB114" s="5">
        <v>54.45</v>
      </c>
    </row>
    <row r="115" spans="1:54" x14ac:dyDescent="0.3">
      <c r="A115" s="1" t="s">
        <v>14</v>
      </c>
      <c r="B115" s="1" t="s">
        <v>15</v>
      </c>
      <c r="C115" s="1" t="s">
        <v>16</v>
      </c>
      <c r="D115" s="5">
        <v>48.7239</v>
      </c>
      <c r="E115" s="5">
        <v>126.1263</v>
      </c>
      <c r="F115" s="1" t="s">
        <v>17</v>
      </c>
      <c r="G115" s="5" t="s">
        <v>157</v>
      </c>
      <c r="H115" s="5" t="s">
        <v>156</v>
      </c>
      <c r="I115" s="6">
        <v>1.2457149568945169E-4</v>
      </c>
      <c r="J115" s="3" t="s">
        <v>445</v>
      </c>
      <c r="K115" s="5">
        <v>51.8</v>
      </c>
      <c r="L115" s="5">
        <v>0.113</v>
      </c>
      <c r="M115" s="5">
        <v>7.09</v>
      </c>
      <c r="N115" s="5">
        <v>6.06</v>
      </c>
      <c r="O115" s="5">
        <v>3.7549999999999999</v>
      </c>
      <c r="P115" s="5">
        <v>5.0579999999999998</v>
      </c>
      <c r="Q115" s="5">
        <v>12.551078609723476</v>
      </c>
      <c r="R115" s="5">
        <v>123.25146994324115</v>
      </c>
      <c r="W115" s="5">
        <v>94.81</v>
      </c>
      <c r="X115" s="5">
        <v>1341.77</v>
      </c>
      <c r="Y115" s="5">
        <v>12.97</v>
      </c>
      <c r="Z115" s="5">
        <v>7.16</v>
      </c>
      <c r="AA115" s="5">
        <v>1.42</v>
      </c>
      <c r="AB115" s="5">
        <v>66.8</v>
      </c>
      <c r="AC115" s="5">
        <v>3.29</v>
      </c>
      <c r="AD115" s="5">
        <v>76.849999999999994</v>
      </c>
      <c r="AE115" s="5">
        <v>141.41999999999999</v>
      </c>
      <c r="AH115" s="5">
        <v>1.209726191416</v>
      </c>
      <c r="AI115" s="5">
        <v>1578.16</v>
      </c>
      <c r="AJ115" s="5">
        <v>19.75</v>
      </c>
      <c r="AK115" s="5">
        <v>431.77</v>
      </c>
      <c r="AL115" s="5">
        <v>9.5682455507498698</v>
      </c>
      <c r="AM115" s="5">
        <v>14203.41</v>
      </c>
      <c r="AN115" s="5">
        <v>3979.97</v>
      </c>
      <c r="AO115" s="5">
        <v>2.7196236829005187</v>
      </c>
      <c r="AP115" s="5">
        <v>21.86</v>
      </c>
      <c r="AQ115" s="5">
        <v>9.33</v>
      </c>
      <c r="AR115" s="5">
        <v>0.87</v>
      </c>
      <c r="AS115" s="5">
        <v>1.42</v>
      </c>
      <c r="AT115" s="5">
        <v>21.6</v>
      </c>
      <c r="AU115" s="5">
        <v>0.19</v>
      </c>
      <c r="AV115" s="5">
        <v>0.21</v>
      </c>
      <c r="AW115" s="5">
        <v>23.62</v>
      </c>
      <c r="AX115" s="5">
        <v>20.54</v>
      </c>
      <c r="AY115" s="5">
        <v>0.02</v>
      </c>
      <c r="BB115" s="5">
        <v>55.22</v>
      </c>
    </row>
    <row r="116" spans="1:54" x14ac:dyDescent="0.3">
      <c r="A116" s="1" t="s">
        <v>14</v>
      </c>
      <c r="B116" s="1" t="s">
        <v>15</v>
      </c>
      <c r="C116" s="1" t="s">
        <v>16</v>
      </c>
      <c r="D116" s="5">
        <v>48.718699999999998</v>
      </c>
      <c r="E116" s="5">
        <v>126.1263</v>
      </c>
      <c r="F116" s="1" t="s">
        <v>17</v>
      </c>
      <c r="G116" s="5" t="s">
        <v>158</v>
      </c>
      <c r="H116" s="5" t="s">
        <v>156</v>
      </c>
      <c r="I116" s="6">
        <v>1.1843780521303419E-4</v>
      </c>
      <c r="J116" s="3" t="s">
        <v>445</v>
      </c>
      <c r="K116" s="5">
        <v>49.13</v>
      </c>
      <c r="L116" s="5">
        <v>0.13200000000000001</v>
      </c>
      <c r="M116" s="5">
        <v>8.17</v>
      </c>
      <c r="N116" s="5">
        <v>7.15</v>
      </c>
      <c r="O116" s="5">
        <v>3.6930000000000001</v>
      </c>
      <c r="P116" s="5">
        <v>4.6929999999999996</v>
      </c>
      <c r="Q116" s="5">
        <v>13.573246795794807</v>
      </c>
      <c r="R116" s="5">
        <v>137.5593139259899</v>
      </c>
      <c r="W116" s="5">
        <v>89.05</v>
      </c>
      <c r="X116" s="5">
        <v>1406.45</v>
      </c>
      <c r="Y116" s="5">
        <v>15.18</v>
      </c>
      <c r="Z116" s="5">
        <v>8.42</v>
      </c>
      <c r="AA116" s="5">
        <v>1.6</v>
      </c>
      <c r="AB116" s="5">
        <v>73.64</v>
      </c>
      <c r="AC116" s="5">
        <v>3.52</v>
      </c>
      <c r="AD116" s="5">
        <v>89.32</v>
      </c>
      <c r="AE116" s="5">
        <v>163</v>
      </c>
      <c r="AH116" s="5">
        <v>1.3108996615620401</v>
      </c>
      <c r="AI116" s="5">
        <v>1628.69</v>
      </c>
      <c r="AJ116" s="5">
        <v>23.19</v>
      </c>
      <c r="AK116" s="5">
        <v>398.65</v>
      </c>
      <c r="AL116" s="5">
        <v>8.6994660757540849</v>
      </c>
      <c r="AM116" s="5">
        <v>13879.79</v>
      </c>
      <c r="AN116" s="5">
        <v>4634.57</v>
      </c>
      <c r="AO116" s="5">
        <v>2.6851788151395533</v>
      </c>
      <c r="AP116" s="5">
        <v>17.190000000000001</v>
      </c>
      <c r="AQ116" s="5">
        <v>8.75</v>
      </c>
      <c r="AR116" s="5">
        <v>0.82</v>
      </c>
      <c r="AS116" s="5">
        <v>1.21</v>
      </c>
      <c r="AT116" s="5">
        <v>19.62</v>
      </c>
      <c r="AU116" s="5">
        <v>0.21</v>
      </c>
      <c r="AV116" s="5">
        <v>0.21</v>
      </c>
      <c r="AW116" s="5">
        <v>22.12</v>
      </c>
      <c r="AX116" s="5">
        <v>18.23</v>
      </c>
      <c r="AY116" s="5">
        <v>0.02</v>
      </c>
      <c r="BB116" s="5">
        <v>56.17</v>
      </c>
    </row>
    <row r="117" spans="1:54" x14ac:dyDescent="0.3">
      <c r="A117" s="1" t="s">
        <v>14</v>
      </c>
      <c r="B117" s="1" t="s">
        <v>15</v>
      </c>
      <c r="C117" s="1" t="s">
        <v>16</v>
      </c>
      <c r="D117" s="5">
        <v>48.746400000000001</v>
      </c>
      <c r="E117" s="5">
        <v>126.19110000000001</v>
      </c>
      <c r="F117" s="1" t="s">
        <v>17</v>
      </c>
      <c r="G117" s="5" t="s">
        <v>159</v>
      </c>
      <c r="H117" s="5" t="s">
        <v>156</v>
      </c>
      <c r="I117" s="6">
        <v>1.2457149568945169E-4</v>
      </c>
      <c r="J117" s="3" t="s">
        <v>445</v>
      </c>
      <c r="K117" s="5">
        <v>50.91</v>
      </c>
      <c r="L117" s="5">
        <v>0.11799999999999999</v>
      </c>
      <c r="M117" s="5">
        <v>7.38</v>
      </c>
      <c r="N117" s="5">
        <v>6.38</v>
      </c>
      <c r="O117" s="5">
        <v>3.7869999999999999</v>
      </c>
      <c r="P117" s="5">
        <v>4.9790000000000001</v>
      </c>
      <c r="Q117" s="5">
        <v>13.003935257681349</v>
      </c>
      <c r="R117" s="5">
        <v>130.26997550754479</v>
      </c>
      <c r="W117" s="5">
        <v>94.2</v>
      </c>
      <c r="X117" s="5">
        <v>1340.02</v>
      </c>
      <c r="Y117" s="5">
        <v>12.11</v>
      </c>
      <c r="Z117" s="5">
        <v>7.28</v>
      </c>
      <c r="AA117" s="5">
        <v>1.44</v>
      </c>
      <c r="AB117" s="5">
        <v>67.56</v>
      </c>
      <c r="AC117" s="5">
        <v>3.28</v>
      </c>
      <c r="AD117" s="5">
        <v>77.290000000000006</v>
      </c>
      <c r="AE117" s="5">
        <v>142.44999999999999</v>
      </c>
      <c r="AH117" s="5">
        <v>1.2242842356507899</v>
      </c>
      <c r="AI117" s="5">
        <v>1595.31</v>
      </c>
      <c r="AJ117" s="5">
        <v>19.95</v>
      </c>
      <c r="AK117" s="5">
        <v>416.08</v>
      </c>
      <c r="AL117" s="5">
        <v>9.0503469766054891</v>
      </c>
      <c r="AM117" s="5">
        <v>14017.63</v>
      </c>
      <c r="AN117" s="5">
        <v>4014.88</v>
      </c>
      <c r="AO117" s="5">
        <v>2.6791164212422109</v>
      </c>
      <c r="AP117" s="5">
        <v>20.86</v>
      </c>
      <c r="AQ117" s="5">
        <v>9.27</v>
      </c>
      <c r="AR117" s="5">
        <v>0.87</v>
      </c>
      <c r="AS117" s="5">
        <v>1.39</v>
      </c>
      <c r="AT117" s="5">
        <v>21.56</v>
      </c>
      <c r="AU117" s="5">
        <v>0.18</v>
      </c>
      <c r="AV117" s="5">
        <v>0.19</v>
      </c>
      <c r="AW117" s="5">
        <v>23.61</v>
      </c>
      <c r="AX117" s="5">
        <v>20.64</v>
      </c>
      <c r="AY117" s="5">
        <v>0.02</v>
      </c>
      <c r="BB117" s="5">
        <v>55.18</v>
      </c>
    </row>
    <row r="118" spans="1:54" x14ac:dyDescent="0.3">
      <c r="A118" s="1" t="s">
        <v>14</v>
      </c>
      <c r="B118" s="1" t="s">
        <v>15</v>
      </c>
      <c r="C118" s="1" t="s">
        <v>16</v>
      </c>
      <c r="D118" s="5">
        <v>48.738900000000001</v>
      </c>
      <c r="E118" s="5">
        <v>126.17149999999999</v>
      </c>
      <c r="F118" s="1" t="s">
        <v>17</v>
      </c>
      <c r="G118" s="5" t="s">
        <v>160</v>
      </c>
      <c r="H118" s="5" t="s">
        <v>156</v>
      </c>
      <c r="I118" s="6">
        <v>1.5393771172966811E-4</v>
      </c>
      <c r="J118" s="3" t="s">
        <v>445</v>
      </c>
      <c r="K118" s="5">
        <v>51.17</v>
      </c>
      <c r="L118" s="5">
        <v>0.122</v>
      </c>
      <c r="M118" s="5">
        <v>6.85</v>
      </c>
      <c r="N118" s="5">
        <v>6.96</v>
      </c>
      <c r="O118" s="5">
        <v>3.9350000000000001</v>
      </c>
      <c r="P118" s="5">
        <v>4.68</v>
      </c>
      <c r="Q118" s="5">
        <v>13.887328132164445</v>
      </c>
      <c r="R118" s="5">
        <v>134.15602850800917</v>
      </c>
      <c r="W118" s="5">
        <v>89.45</v>
      </c>
      <c r="X118" s="5">
        <v>1307</v>
      </c>
      <c r="Y118" s="5">
        <v>11.99</v>
      </c>
      <c r="Z118" s="5">
        <v>7.3</v>
      </c>
      <c r="AA118" s="5">
        <v>1.45</v>
      </c>
      <c r="AB118" s="5">
        <v>63.72</v>
      </c>
      <c r="AC118" s="5">
        <v>3.41</v>
      </c>
      <c r="AD118" s="5">
        <v>71.709999999999994</v>
      </c>
      <c r="AE118" s="5">
        <v>132.88999999999999</v>
      </c>
      <c r="AH118" s="5">
        <v>1.2973354740449701</v>
      </c>
      <c r="AI118" s="5">
        <v>1554.11</v>
      </c>
      <c r="AJ118" s="5">
        <v>19.87</v>
      </c>
      <c r="AK118" s="5">
        <v>360.45</v>
      </c>
      <c r="AL118" s="5">
        <v>8.8120580009252887</v>
      </c>
      <c r="AM118" s="5">
        <v>14077.56</v>
      </c>
      <c r="AN118" s="5">
        <v>3892.69</v>
      </c>
      <c r="AO118" s="5">
        <v>2.6284643164562058</v>
      </c>
      <c r="AP118" s="5">
        <v>18.14</v>
      </c>
      <c r="AQ118" s="5">
        <v>8.7200000000000006</v>
      </c>
      <c r="AR118" s="5">
        <v>0.89</v>
      </c>
      <c r="AS118" s="5">
        <v>1.4</v>
      </c>
      <c r="AT118" s="5">
        <v>21.81</v>
      </c>
      <c r="AU118" s="5">
        <v>0.19</v>
      </c>
      <c r="AV118" s="5">
        <v>0.2</v>
      </c>
      <c r="AW118" s="5">
        <v>24.39</v>
      </c>
      <c r="AX118" s="5">
        <v>21.67</v>
      </c>
      <c r="AY118" s="5">
        <v>0.02</v>
      </c>
      <c r="BB118" s="5">
        <v>49.12</v>
      </c>
    </row>
    <row r="119" spans="1:54" x14ac:dyDescent="0.3">
      <c r="A119" s="1" t="s">
        <v>14</v>
      </c>
      <c r="B119" s="1" t="s">
        <v>15</v>
      </c>
      <c r="C119" s="1" t="s">
        <v>16</v>
      </c>
      <c r="D119" s="5">
        <v>48.735599999999998</v>
      </c>
      <c r="E119" s="5">
        <v>126.1703</v>
      </c>
      <c r="F119" s="1" t="s">
        <v>17</v>
      </c>
      <c r="G119" s="5" t="s">
        <v>161</v>
      </c>
      <c r="H119" s="5" t="s">
        <v>156</v>
      </c>
      <c r="I119" s="6">
        <v>4.393549170345068E-4</v>
      </c>
      <c r="J119" s="3" t="s">
        <v>445</v>
      </c>
      <c r="K119" s="5">
        <v>49.67</v>
      </c>
      <c r="L119" s="5">
        <v>0.125</v>
      </c>
      <c r="M119" s="5">
        <v>6.86</v>
      </c>
      <c r="N119" s="5">
        <v>7.06</v>
      </c>
      <c r="O119" s="5">
        <v>3.89</v>
      </c>
      <c r="P119" s="5">
        <v>5.1269999999999998</v>
      </c>
      <c r="Q119" s="5">
        <v>12.827376585681224</v>
      </c>
      <c r="R119" s="5">
        <v>141.82801159115652</v>
      </c>
      <c r="W119" s="5">
        <v>97.56</v>
      </c>
      <c r="X119" s="5">
        <v>1470.37</v>
      </c>
      <c r="Y119" s="5">
        <v>13.8</v>
      </c>
      <c r="Z119" s="5">
        <v>8.66</v>
      </c>
      <c r="AA119" s="5">
        <v>1.75</v>
      </c>
      <c r="AB119" s="5">
        <v>76.930000000000007</v>
      </c>
      <c r="AC119" s="5">
        <v>4.05</v>
      </c>
      <c r="AD119" s="5">
        <v>90.03</v>
      </c>
      <c r="AE119" s="5">
        <v>164.88</v>
      </c>
      <c r="AH119" s="5">
        <v>1.2980340178065699</v>
      </c>
      <c r="AI119" s="5">
        <v>1768.22</v>
      </c>
      <c r="AJ119" s="5">
        <v>22.87</v>
      </c>
      <c r="AK119" s="5">
        <v>414.7</v>
      </c>
      <c r="AL119" s="5">
        <v>9.9143640235210917</v>
      </c>
      <c r="AM119" s="5">
        <v>15180.27</v>
      </c>
      <c r="AN119" s="5">
        <v>4665.12</v>
      </c>
      <c r="AO119" s="5">
        <v>3.1201031286096246</v>
      </c>
      <c r="AP119" s="5">
        <v>18.13</v>
      </c>
      <c r="AQ119" s="5">
        <v>8.8800000000000008</v>
      </c>
      <c r="AR119" s="5">
        <v>0.85</v>
      </c>
      <c r="AS119" s="5">
        <v>1.27</v>
      </c>
      <c r="AT119" s="5">
        <v>20.170000000000002</v>
      </c>
      <c r="AU119" s="5">
        <v>0.18</v>
      </c>
      <c r="AV119" s="5">
        <v>0.19</v>
      </c>
      <c r="AW119" s="5">
        <v>22.98</v>
      </c>
      <c r="AX119" s="5">
        <v>19.64</v>
      </c>
      <c r="AY119" s="5">
        <v>0.02</v>
      </c>
      <c r="BB119" s="5">
        <v>59.27</v>
      </c>
    </row>
    <row r="120" spans="1:54" x14ac:dyDescent="0.3">
      <c r="A120" s="1" t="s">
        <v>14</v>
      </c>
      <c r="B120" s="1" t="s">
        <v>15</v>
      </c>
      <c r="C120" s="1" t="s">
        <v>16</v>
      </c>
      <c r="D120" s="5">
        <v>48.664400000000001</v>
      </c>
      <c r="E120" s="5">
        <v>126.2749</v>
      </c>
      <c r="F120" s="1" t="s">
        <v>17</v>
      </c>
      <c r="G120" s="5" t="s">
        <v>162</v>
      </c>
      <c r="H120" s="5" t="s">
        <v>156</v>
      </c>
      <c r="I120" s="6">
        <v>1.8276210175827151E-4</v>
      </c>
      <c r="J120" s="3" t="s">
        <v>445</v>
      </c>
      <c r="K120" s="5">
        <v>51.9</v>
      </c>
      <c r="L120" s="5">
        <v>0.105</v>
      </c>
      <c r="M120" s="5">
        <v>6.6</v>
      </c>
      <c r="N120" s="5">
        <v>6.1</v>
      </c>
      <c r="O120" s="5">
        <v>3.84</v>
      </c>
      <c r="P120" s="5">
        <v>4.758</v>
      </c>
      <c r="Q120" s="5">
        <v>10.923389548479879</v>
      </c>
      <c r="R120" s="5">
        <v>119.74514136534049</v>
      </c>
      <c r="W120" s="5">
        <v>86.48</v>
      </c>
      <c r="X120" s="5">
        <v>1587.57</v>
      </c>
      <c r="Y120" s="5">
        <v>10.36</v>
      </c>
      <c r="Z120" s="5">
        <v>6.67</v>
      </c>
      <c r="AA120" s="5">
        <v>1.1200000000000001</v>
      </c>
      <c r="AB120" s="5">
        <v>66.569999999999993</v>
      </c>
      <c r="AC120" s="5">
        <v>3.29</v>
      </c>
      <c r="AD120" s="5">
        <v>75.47</v>
      </c>
      <c r="AE120" s="5">
        <v>140.19999999999999</v>
      </c>
      <c r="AH120" s="5">
        <v>1.0781324416546401</v>
      </c>
      <c r="AI120" s="5">
        <v>1646.02</v>
      </c>
      <c r="AJ120" s="5">
        <v>18.260000000000002</v>
      </c>
      <c r="AK120" s="5">
        <v>299.77999999999997</v>
      </c>
      <c r="AL120" s="5">
        <v>6.9253574028301532</v>
      </c>
      <c r="AM120" s="5">
        <v>13873.8</v>
      </c>
      <c r="AN120" s="5">
        <v>4433.82</v>
      </c>
      <c r="AO120" s="5">
        <v>3.0515731397069779</v>
      </c>
      <c r="AP120" s="5">
        <v>16.420000000000002</v>
      </c>
      <c r="AQ120" s="5">
        <v>9.98</v>
      </c>
      <c r="AR120" s="5">
        <v>0.88</v>
      </c>
      <c r="AS120" s="5">
        <v>1.3</v>
      </c>
      <c r="AT120" s="5">
        <v>25.09</v>
      </c>
      <c r="AU120" s="5">
        <v>0.16</v>
      </c>
      <c r="AV120" s="5">
        <v>0.16</v>
      </c>
      <c r="AW120" s="5">
        <v>24.73</v>
      </c>
      <c r="AX120" s="5">
        <v>21.81</v>
      </c>
      <c r="AY120" s="5">
        <v>0.02</v>
      </c>
      <c r="BB120" s="5">
        <v>61.75</v>
      </c>
    </row>
    <row r="121" spans="1:54" x14ac:dyDescent="0.3">
      <c r="A121" s="1" t="s">
        <v>14</v>
      </c>
      <c r="B121" s="1" t="s">
        <v>15</v>
      </c>
      <c r="C121" s="1" t="s">
        <v>16</v>
      </c>
      <c r="D121" s="5">
        <v>48.674700000000001</v>
      </c>
      <c r="E121" s="5">
        <v>126.17059999999999</v>
      </c>
      <c r="F121" s="1" t="s">
        <v>17</v>
      </c>
      <c r="G121" s="5" t="s">
        <v>163</v>
      </c>
      <c r="H121" s="5" t="s">
        <v>156</v>
      </c>
      <c r="I121" s="6">
        <v>1.0294827370671559E-4</v>
      </c>
      <c r="J121" s="3" t="s">
        <v>445</v>
      </c>
      <c r="K121" s="5">
        <v>50.75</v>
      </c>
      <c r="L121" s="5">
        <v>0.114</v>
      </c>
      <c r="M121" s="5">
        <v>6.27</v>
      </c>
      <c r="N121" s="5">
        <v>6.29</v>
      </c>
      <c r="O121" s="5">
        <v>3.6120000000000001</v>
      </c>
      <c r="P121" s="5">
        <v>5.8659999999999997</v>
      </c>
      <c r="Q121" s="5">
        <v>13.563454048516794</v>
      </c>
      <c r="R121" s="5">
        <v>132.8082476961049</v>
      </c>
      <c r="W121" s="5">
        <v>106.79</v>
      </c>
      <c r="X121" s="5">
        <v>1502.34</v>
      </c>
      <c r="Y121" s="5">
        <v>15.05</v>
      </c>
      <c r="Z121" s="5">
        <v>6.31</v>
      </c>
      <c r="AA121" s="5">
        <v>1.31</v>
      </c>
      <c r="AB121" s="5">
        <v>73.09</v>
      </c>
      <c r="AC121" s="5">
        <v>3.61</v>
      </c>
      <c r="AD121" s="5">
        <v>92.12</v>
      </c>
      <c r="AE121" s="5">
        <v>169.91</v>
      </c>
      <c r="AH121" s="5">
        <v>1.36691043270041</v>
      </c>
      <c r="AI121" s="5">
        <v>1898.78</v>
      </c>
      <c r="AJ121" s="5">
        <v>22.76</v>
      </c>
      <c r="AK121" s="5">
        <v>507.71</v>
      </c>
      <c r="AL121" s="5">
        <v>11.614151861263025</v>
      </c>
      <c r="AM121" s="5">
        <v>16648.55</v>
      </c>
      <c r="AN121" s="5">
        <v>5092.79</v>
      </c>
      <c r="AO121" s="5">
        <v>2.6409923530016797</v>
      </c>
      <c r="AP121" s="5">
        <v>22.31</v>
      </c>
      <c r="AQ121" s="5">
        <v>11.59</v>
      </c>
      <c r="AR121" s="5">
        <v>0.79</v>
      </c>
      <c r="AS121" s="5">
        <v>1.46</v>
      </c>
      <c r="AT121" s="5">
        <v>20.22</v>
      </c>
      <c r="AU121" s="5">
        <v>0.21</v>
      </c>
      <c r="AV121" s="5">
        <v>0.2</v>
      </c>
      <c r="AW121" s="5">
        <v>25.98</v>
      </c>
      <c r="AX121" s="5">
        <v>20.61</v>
      </c>
      <c r="AY121" s="5">
        <v>0.02</v>
      </c>
      <c r="BB121" s="5">
        <v>53.47</v>
      </c>
    </row>
    <row r="122" spans="1:54" x14ac:dyDescent="0.3">
      <c r="A122" s="1" t="s">
        <v>14</v>
      </c>
      <c r="B122" s="1" t="s">
        <v>15</v>
      </c>
      <c r="C122" s="1" t="s">
        <v>16</v>
      </c>
      <c r="D122" s="5">
        <v>49.820999999999998</v>
      </c>
      <c r="E122" s="5">
        <v>123.92310000000001</v>
      </c>
      <c r="F122" s="1" t="s">
        <v>17</v>
      </c>
      <c r="G122" s="5" t="s">
        <v>164</v>
      </c>
      <c r="H122" s="5" t="s">
        <v>165</v>
      </c>
      <c r="I122" s="6">
        <v>3.1036275322549051E-4</v>
      </c>
      <c r="J122" s="3" t="s">
        <v>445</v>
      </c>
      <c r="K122" s="5">
        <v>45.44</v>
      </c>
      <c r="L122" s="5">
        <v>0.151</v>
      </c>
      <c r="M122" s="5">
        <v>11.9</v>
      </c>
      <c r="N122" s="5">
        <v>8.1300000000000008</v>
      </c>
      <c r="O122" s="5">
        <v>3.83</v>
      </c>
      <c r="P122" s="5">
        <v>3.32</v>
      </c>
      <c r="Q122" s="5">
        <v>17.3739467155612</v>
      </c>
      <c r="R122" s="5">
        <v>202.85576333762566</v>
      </c>
      <c r="W122" s="5">
        <v>71.88</v>
      </c>
      <c r="X122" s="5">
        <v>1307.49</v>
      </c>
      <c r="Y122" s="5">
        <v>8.27</v>
      </c>
      <c r="Z122" s="5">
        <v>5.82</v>
      </c>
      <c r="AA122" s="5">
        <v>1</v>
      </c>
      <c r="AB122" s="5">
        <v>76.22</v>
      </c>
      <c r="AC122" s="5">
        <v>3.99</v>
      </c>
      <c r="AD122" s="5">
        <v>73.28</v>
      </c>
      <c r="AE122" s="5">
        <v>130.76</v>
      </c>
      <c r="AH122" s="5">
        <v>1.26039122922597</v>
      </c>
      <c r="AI122" s="5">
        <v>1571.17</v>
      </c>
      <c r="AJ122" s="5">
        <v>22.59</v>
      </c>
      <c r="AK122" s="5">
        <v>291.32</v>
      </c>
      <c r="AL122" s="5">
        <v>6.3127738371732676</v>
      </c>
      <c r="AM122" s="5">
        <v>16085.21</v>
      </c>
      <c r="AN122" s="5">
        <v>4014.88</v>
      </c>
      <c r="AO122" s="5">
        <v>3.1656837238151319</v>
      </c>
      <c r="AP122" s="5">
        <v>12.89</v>
      </c>
      <c r="AQ122" s="5">
        <v>13.09</v>
      </c>
      <c r="AR122" s="5">
        <v>1.04</v>
      </c>
      <c r="AS122" s="5">
        <v>0.94</v>
      </c>
      <c r="AT122" s="5">
        <v>22.36</v>
      </c>
      <c r="AU122" s="5">
        <v>0.11</v>
      </c>
      <c r="AV122" s="5">
        <v>0.14000000000000001</v>
      </c>
      <c r="AW122" s="5">
        <v>20.61</v>
      </c>
      <c r="AX122" s="5">
        <v>21.44</v>
      </c>
      <c r="AY122" s="5">
        <v>0.01</v>
      </c>
      <c r="BB122" s="5">
        <v>60.47</v>
      </c>
    </row>
    <row r="123" spans="1:54" x14ac:dyDescent="0.3">
      <c r="A123" s="1" t="s">
        <v>14</v>
      </c>
      <c r="B123" s="1" t="s">
        <v>15</v>
      </c>
      <c r="C123" s="1" t="s">
        <v>16</v>
      </c>
      <c r="D123" s="5">
        <v>49.820999999999998</v>
      </c>
      <c r="E123" s="5">
        <v>123.92310000000001</v>
      </c>
      <c r="F123" s="1" t="s">
        <v>17</v>
      </c>
      <c r="G123" s="5" t="s">
        <v>166</v>
      </c>
      <c r="H123" s="5" t="s">
        <v>167</v>
      </c>
      <c r="I123" s="6">
        <v>1.992618665099144E-3</v>
      </c>
      <c r="J123" s="3" t="s">
        <v>445</v>
      </c>
      <c r="K123" s="5">
        <v>48.15</v>
      </c>
      <c r="L123" s="5">
        <v>0.129</v>
      </c>
      <c r="M123" s="5">
        <v>8.1</v>
      </c>
      <c r="N123" s="5">
        <v>8.0500000000000007</v>
      </c>
      <c r="O123" s="5">
        <v>3.54</v>
      </c>
      <c r="P123" s="5">
        <v>4.4000000000000004</v>
      </c>
      <c r="Q123" s="5">
        <v>15.795853447840145</v>
      </c>
      <c r="R123" s="5">
        <v>188.95169561490451</v>
      </c>
      <c r="W123" s="5">
        <v>96.47</v>
      </c>
      <c r="X123" s="5">
        <v>1705.55</v>
      </c>
      <c r="Y123" s="5">
        <v>11.88</v>
      </c>
      <c r="Z123" s="5">
        <v>8.64</v>
      </c>
      <c r="AA123" s="5">
        <v>1.5</v>
      </c>
      <c r="AB123" s="5">
        <v>72.63</v>
      </c>
      <c r="AC123" s="5">
        <v>3.32</v>
      </c>
      <c r="AD123" s="5">
        <v>94.76</v>
      </c>
      <c r="AE123" s="5">
        <v>162.62</v>
      </c>
      <c r="AH123" s="5">
        <v>1.2654548737581199</v>
      </c>
      <c r="AI123" s="5">
        <v>2042.09</v>
      </c>
      <c r="AJ123" s="5">
        <v>23.08</v>
      </c>
      <c r="AK123" s="5">
        <v>305.86</v>
      </c>
      <c r="AL123" s="5">
        <v>6.5208537642906119</v>
      </c>
      <c r="AM123" s="5">
        <v>15192.26</v>
      </c>
      <c r="AN123" s="5">
        <v>4377.09</v>
      </c>
      <c r="AO123" s="5">
        <v>2.6235625377460812</v>
      </c>
      <c r="AP123" s="5">
        <v>13.25</v>
      </c>
      <c r="AQ123" s="5">
        <v>8.41</v>
      </c>
      <c r="AR123" s="5">
        <v>0.77</v>
      </c>
      <c r="AS123" s="5">
        <v>1.33</v>
      </c>
      <c r="AT123" s="5">
        <v>25.02</v>
      </c>
      <c r="AU123" s="5">
        <v>0.16</v>
      </c>
      <c r="AV123" s="5">
        <v>0.17</v>
      </c>
      <c r="AW123" s="5">
        <v>28.11</v>
      </c>
      <c r="AX123" s="5">
        <v>21.55</v>
      </c>
      <c r="AY123" s="5">
        <v>0.02</v>
      </c>
      <c r="BB123" s="5">
        <v>57.4</v>
      </c>
    </row>
    <row r="124" spans="1:54" x14ac:dyDescent="0.3">
      <c r="A124" s="1" t="s">
        <v>14</v>
      </c>
      <c r="B124" s="1" t="s">
        <v>15</v>
      </c>
      <c r="C124" s="1" t="s">
        <v>16</v>
      </c>
      <c r="D124" s="5">
        <v>49.654899999999998</v>
      </c>
      <c r="E124" s="5">
        <v>124.00109999999999</v>
      </c>
      <c r="F124" s="1" t="s">
        <v>17</v>
      </c>
      <c r="G124" s="5" t="s">
        <v>168</v>
      </c>
      <c r="H124" s="5" t="s">
        <v>165</v>
      </c>
      <c r="I124" s="6">
        <v>1.262280042283237E-3</v>
      </c>
      <c r="J124" s="3" t="s">
        <v>445</v>
      </c>
      <c r="K124" s="5">
        <v>45.4</v>
      </c>
      <c r="L124" s="5">
        <v>0.14499999999999999</v>
      </c>
      <c r="M124" s="5">
        <v>13.4</v>
      </c>
      <c r="N124" s="5">
        <v>8.35</v>
      </c>
      <c r="O124" s="5">
        <v>3.43</v>
      </c>
      <c r="P124" s="5">
        <v>3.39</v>
      </c>
      <c r="Q124" s="5">
        <v>18.870986098184705</v>
      </c>
      <c r="R124" s="5">
        <v>214.89062344994406</v>
      </c>
      <c r="W124" s="5">
        <v>66.23</v>
      </c>
      <c r="X124" s="5">
        <v>1133.1300000000001</v>
      </c>
      <c r="Y124" s="5">
        <v>7.58</v>
      </c>
      <c r="Z124" s="5">
        <v>6.03</v>
      </c>
      <c r="AA124" s="5">
        <v>1.24</v>
      </c>
      <c r="AB124" s="5">
        <v>65.760000000000005</v>
      </c>
      <c r="AC124" s="5">
        <v>3.27</v>
      </c>
      <c r="AD124" s="5">
        <v>65.88</v>
      </c>
      <c r="AE124" s="5">
        <v>113.85</v>
      </c>
      <c r="AH124" s="5">
        <v>1.1564819524368799</v>
      </c>
      <c r="AI124" s="5">
        <v>1514.79</v>
      </c>
      <c r="AJ124" s="5">
        <v>19.399999999999999</v>
      </c>
      <c r="AK124" s="5">
        <v>227.48</v>
      </c>
      <c r="AL124" s="5">
        <v>4.8465927619907356</v>
      </c>
      <c r="AM124" s="5">
        <v>15024.45</v>
      </c>
      <c r="AN124" s="5">
        <v>3264.27</v>
      </c>
      <c r="AO124" s="5">
        <v>2.8275408821638957</v>
      </c>
      <c r="AP124" s="5">
        <v>11.72</v>
      </c>
      <c r="AQ124" s="5">
        <v>10.91</v>
      </c>
      <c r="AR124" s="5">
        <v>1</v>
      </c>
      <c r="AS124" s="5">
        <v>1.01</v>
      </c>
      <c r="AT124" s="5">
        <v>23.06</v>
      </c>
      <c r="AU124" s="5">
        <v>0.12</v>
      </c>
      <c r="AV124" s="5">
        <v>0.15</v>
      </c>
      <c r="AW124" s="5">
        <v>23.03</v>
      </c>
      <c r="AX124" s="5">
        <v>22.99</v>
      </c>
      <c r="AY124" s="5">
        <v>0.02</v>
      </c>
      <c r="BB124" s="5">
        <v>56.87</v>
      </c>
    </row>
    <row r="125" spans="1:54" x14ac:dyDescent="0.3">
      <c r="A125" s="1" t="s">
        <v>14</v>
      </c>
      <c r="B125" s="1" t="s">
        <v>15</v>
      </c>
      <c r="C125" s="1" t="s">
        <v>16</v>
      </c>
      <c r="D125" s="5">
        <v>49.548999999999999</v>
      </c>
      <c r="E125" s="5">
        <v>123.92619999999999</v>
      </c>
      <c r="F125" s="1" t="s">
        <v>17</v>
      </c>
      <c r="G125" s="5" t="s">
        <v>169</v>
      </c>
      <c r="H125" s="5" t="s">
        <v>165</v>
      </c>
      <c r="I125" s="6">
        <v>4.8188207438215608E-4</v>
      </c>
      <c r="J125" s="3" t="s">
        <v>445</v>
      </c>
      <c r="K125" s="5">
        <v>46.37</v>
      </c>
      <c r="L125" s="5">
        <v>0.14399999999999999</v>
      </c>
      <c r="M125" s="5">
        <v>15.8</v>
      </c>
      <c r="N125" s="5">
        <v>7.53</v>
      </c>
      <c r="O125" s="5">
        <v>3.44</v>
      </c>
      <c r="P125" s="5">
        <v>3.04</v>
      </c>
      <c r="Q125" s="5">
        <v>17.236022876633807</v>
      </c>
      <c r="R125" s="5">
        <v>191.04554049488576</v>
      </c>
      <c r="W125" s="5">
        <v>66.39</v>
      </c>
      <c r="X125" s="5">
        <v>1070.33</v>
      </c>
      <c r="Y125" s="5">
        <v>8.36</v>
      </c>
      <c r="Z125" s="5">
        <v>6.15</v>
      </c>
      <c r="AA125" s="5">
        <v>1.25</v>
      </c>
      <c r="AB125" s="5">
        <v>64.16</v>
      </c>
      <c r="AC125" s="5">
        <v>3.28</v>
      </c>
      <c r="AD125" s="5">
        <v>61.49</v>
      </c>
      <c r="AE125" s="5">
        <v>108.75</v>
      </c>
      <c r="AH125" s="5">
        <v>1.0530519923395201</v>
      </c>
      <c r="AI125" s="5">
        <v>1359.82</v>
      </c>
      <c r="AJ125" s="5">
        <v>18.059999999999999</v>
      </c>
      <c r="AK125" s="5">
        <v>242.56</v>
      </c>
      <c r="AL125" s="5">
        <v>5.17485361649977</v>
      </c>
      <c r="AM125" s="5">
        <v>12878.96</v>
      </c>
      <c r="AN125" s="5">
        <v>3015.52</v>
      </c>
      <c r="AO125" s="5">
        <v>3.1147559891254426</v>
      </c>
      <c r="AP125" s="5">
        <v>13.43</v>
      </c>
      <c r="AQ125" s="5">
        <v>10.43</v>
      </c>
      <c r="AR125" s="5">
        <v>1.04</v>
      </c>
      <c r="AS125" s="5">
        <v>1.03</v>
      </c>
      <c r="AT125" s="5">
        <v>22.83</v>
      </c>
      <c r="AU125" s="5">
        <v>0.13</v>
      </c>
      <c r="AV125" s="5">
        <v>0.18</v>
      </c>
      <c r="AW125" s="5">
        <v>21.19</v>
      </c>
      <c r="AX125" s="5">
        <v>22.11</v>
      </c>
      <c r="AY125" s="5">
        <v>0.02</v>
      </c>
      <c r="BB125" s="5">
        <v>60.93</v>
      </c>
    </row>
    <row r="126" spans="1:54" x14ac:dyDescent="0.3">
      <c r="A126" s="1" t="s">
        <v>14</v>
      </c>
      <c r="B126" s="1" t="s">
        <v>15</v>
      </c>
      <c r="C126" s="1" t="s">
        <v>16</v>
      </c>
      <c r="D126" s="5">
        <v>49.548999999999999</v>
      </c>
      <c r="E126" s="5">
        <v>123.92619999999999</v>
      </c>
      <c r="F126" s="1" t="s">
        <v>17</v>
      </c>
      <c r="G126" s="5" t="s">
        <v>170</v>
      </c>
      <c r="H126" s="5" t="s">
        <v>165</v>
      </c>
      <c r="I126" s="6">
        <v>2.3760605836287141E-4</v>
      </c>
      <c r="J126" s="3" t="s">
        <v>445</v>
      </c>
      <c r="K126" s="5">
        <v>45.84</v>
      </c>
      <c r="L126" s="5">
        <v>0.14699999999999999</v>
      </c>
      <c r="M126" s="5">
        <v>16.11</v>
      </c>
      <c r="N126" s="5">
        <v>8.01</v>
      </c>
      <c r="O126" s="5">
        <v>3.41</v>
      </c>
      <c r="P126" s="5">
        <v>3</v>
      </c>
      <c r="Q126" s="5">
        <v>15.446496184552709</v>
      </c>
      <c r="R126" s="5">
        <v>199.36186741686333</v>
      </c>
      <c r="W126" s="5">
        <v>62.15</v>
      </c>
      <c r="X126" s="5">
        <v>1107.83</v>
      </c>
      <c r="Y126" s="5">
        <v>7.61</v>
      </c>
      <c r="Z126" s="5">
        <v>5.95</v>
      </c>
      <c r="AA126" s="5">
        <v>1.25</v>
      </c>
      <c r="AB126" s="5">
        <v>66.83</v>
      </c>
      <c r="AC126" s="5">
        <v>3.41</v>
      </c>
      <c r="AD126" s="5">
        <v>63.87</v>
      </c>
      <c r="AE126" s="5">
        <v>111.17</v>
      </c>
      <c r="AH126" s="5">
        <v>1.1108267837872501</v>
      </c>
      <c r="AI126" s="5">
        <v>1399.35</v>
      </c>
      <c r="AJ126" s="5">
        <v>18.62</v>
      </c>
      <c r="AK126" s="5">
        <v>242.44</v>
      </c>
      <c r="AL126" s="5">
        <v>5.1262965161821343</v>
      </c>
      <c r="AM126" s="5">
        <v>13280.49</v>
      </c>
      <c r="AN126" s="5">
        <v>3102.8</v>
      </c>
      <c r="AO126" s="5">
        <v>3.0697855415170623</v>
      </c>
      <c r="AP126" s="5">
        <v>13.02</v>
      </c>
      <c r="AQ126" s="5">
        <v>11.22</v>
      </c>
      <c r="AR126" s="5">
        <v>1.05</v>
      </c>
      <c r="AS126" s="5">
        <v>0.93</v>
      </c>
      <c r="AT126" s="5">
        <v>23.2</v>
      </c>
      <c r="AU126" s="5">
        <v>0.11</v>
      </c>
      <c r="AV126" s="5">
        <v>0.16</v>
      </c>
      <c r="AW126" s="5">
        <v>20.94</v>
      </c>
      <c r="AX126" s="5">
        <v>21.91</v>
      </c>
      <c r="AY126" s="5">
        <v>0.02</v>
      </c>
      <c r="BB126" s="5">
        <v>60.17</v>
      </c>
    </row>
    <row r="127" spans="1:54" x14ac:dyDescent="0.3">
      <c r="A127" s="1" t="s">
        <v>14</v>
      </c>
      <c r="B127" s="1" t="s">
        <v>15</v>
      </c>
      <c r="C127" s="1" t="s">
        <v>16</v>
      </c>
      <c r="D127" s="5">
        <v>49.551000000000002</v>
      </c>
      <c r="E127" s="5">
        <v>123.7381</v>
      </c>
      <c r="F127" s="1" t="s">
        <v>17</v>
      </c>
      <c r="G127" s="5" t="s">
        <v>171</v>
      </c>
      <c r="H127" s="5" t="s">
        <v>165</v>
      </c>
      <c r="I127" s="6">
        <v>4.7616628580726678E-4</v>
      </c>
      <c r="J127" s="3" t="s">
        <v>445</v>
      </c>
      <c r="K127" s="5">
        <v>45.25</v>
      </c>
      <c r="L127" s="5">
        <v>0.14399999999999999</v>
      </c>
      <c r="M127" s="5">
        <v>11.74</v>
      </c>
      <c r="N127" s="5">
        <v>8.2899999999999991</v>
      </c>
      <c r="O127" s="5">
        <v>4.03</v>
      </c>
      <c r="P127" s="5">
        <v>4.0599999999999996</v>
      </c>
      <c r="Q127" s="5">
        <v>15.551995887461079</v>
      </c>
      <c r="R127" s="5">
        <v>190.60932281155632</v>
      </c>
      <c r="W127" s="5">
        <v>79.680000000000007</v>
      </c>
      <c r="X127" s="5">
        <v>1482.16</v>
      </c>
      <c r="Y127" s="5">
        <v>8.81</v>
      </c>
      <c r="Z127" s="5">
        <v>8.4</v>
      </c>
      <c r="AA127" s="5">
        <v>1.52</v>
      </c>
      <c r="AB127" s="5">
        <v>92.26</v>
      </c>
      <c r="AC127" s="5">
        <v>4.67</v>
      </c>
      <c r="AD127" s="5">
        <v>83.71</v>
      </c>
      <c r="AE127" s="5">
        <v>145.19</v>
      </c>
      <c r="AH127" s="5">
        <v>1.2510435526580099</v>
      </c>
      <c r="AI127" s="5">
        <v>1735.93</v>
      </c>
      <c r="AJ127" s="5">
        <v>24.13</v>
      </c>
      <c r="AK127" s="5">
        <v>316.92</v>
      </c>
      <c r="AL127" s="5">
        <v>6.4410475526047657</v>
      </c>
      <c r="AM127" s="5">
        <v>16330.93</v>
      </c>
      <c r="AN127" s="5">
        <v>4071.61</v>
      </c>
      <c r="AO127" s="5">
        <v>3.7328836314914522</v>
      </c>
      <c r="AP127" s="5">
        <v>13.13</v>
      </c>
      <c r="AQ127" s="5">
        <v>10.99</v>
      </c>
      <c r="AR127" s="5">
        <v>1.1000000000000001</v>
      </c>
      <c r="AS127" s="5">
        <v>0.86</v>
      </c>
      <c r="AT127" s="5">
        <v>23.08</v>
      </c>
      <c r="AU127" s="5">
        <v>0.1</v>
      </c>
      <c r="AV127" s="5">
        <v>0.14000000000000001</v>
      </c>
      <c r="AW127" s="5">
        <v>18.809999999999999</v>
      </c>
      <c r="AX127" s="5">
        <v>20.74</v>
      </c>
      <c r="AY127" s="5">
        <v>0.02</v>
      </c>
      <c r="BB127" s="5">
        <v>73.75</v>
      </c>
    </row>
    <row r="128" spans="1:54" x14ac:dyDescent="0.3">
      <c r="A128" s="1" t="s">
        <v>14</v>
      </c>
      <c r="B128" s="1" t="s">
        <v>15</v>
      </c>
      <c r="C128" s="1" t="s">
        <v>16</v>
      </c>
      <c r="D128" s="5">
        <v>49.546199999999999</v>
      </c>
      <c r="E128" s="5">
        <v>123.70010000000001</v>
      </c>
      <c r="F128" s="1" t="s">
        <v>17</v>
      </c>
      <c r="G128" s="5" t="s">
        <v>172</v>
      </c>
      <c r="H128" s="5" t="s">
        <v>165</v>
      </c>
      <c r="I128" s="6">
        <v>1.159096136689186E-4</v>
      </c>
      <c r="J128" s="3" t="s">
        <v>445</v>
      </c>
      <c r="K128" s="5">
        <v>46</v>
      </c>
      <c r="L128" s="5">
        <v>0.14599999999999999</v>
      </c>
      <c r="M128" s="5">
        <v>11.61</v>
      </c>
      <c r="N128" s="5">
        <v>8.19</v>
      </c>
      <c r="O128" s="5">
        <v>3.84</v>
      </c>
      <c r="P128" s="5">
        <v>3.81</v>
      </c>
      <c r="Q128" s="5">
        <v>18.012750709740217</v>
      </c>
      <c r="R128" s="5">
        <v>198.72508595063726</v>
      </c>
      <c r="W128" s="5">
        <v>87.4</v>
      </c>
      <c r="X128" s="5">
        <v>1300.81</v>
      </c>
      <c r="Y128" s="5">
        <v>10.09</v>
      </c>
      <c r="Z128" s="5">
        <v>8.57</v>
      </c>
      <c r="AA128" s="5">
        <v>1.48</v>
      </c>
      <c r="AB128" s="5">
        <v>98.01</v>
      </c>
      <c r="AC128" s="5">
        <v>5.67</v>
      </c>
      <c r="AD128" s="5">
        <v>79.33</v>
      </c>
      <c r="AE128" s="5">
        <v>136.01</v>
      </c>
      <c r="AH128" s="5">
        <v>1.26894901356212</v>
      </c>
      <c r="AI128" s="5">
        <v>1489.82</v>
      </c>
      <c r="AJ128" s="5">
        <v>21.43</v>
      </c>
      <c r="AK128" s="5">
        <v>349.12</v>
      </c>
      <c r="AL128" s="5">
        <v>7.652865643961249</v>
      </c>
      <c r="AM128" s="5">
        <v>13556.17</v>
      </c>
      <c r="AN128" s="5">
        <v>3526.11</v>
      </c>
      <c r="AO128" s="5">
        <v>4.4682646342767587</v>
      </c>
      <c r="AP128" s="5">
        <v>16.29</v>
      </c>
      <c r="AQ128" s="5">
        <v>11.44</v>
      </c>
      <c r="AR128" s="5">
        <v>1.24</v>
      </c>
      <c r="AS128" s="5">
        <v>0.89</v>
      </c>
      <c r="AT128" s="5">
        <v>22.48</v>
      </c>
      <c r="AU128" s="5">
        <v>0.1</v>
      </c>
      <c r="AV128" s="5">
        <v>0.17</v>
      </c>
      <c r="AW128" s="5">
        <v>15.2</v>
      </c>
      <c r="AX128" s="5">
        <v>18.78</v>
      </c>
      <c r="AY128" s="5">
        <v>0.02</v>
      </c>
      <c r="BB128" s="5">
        <v>77.239999999999995</v>
      </c>
    </row>
    <row r="129" spans="1:54" x14ac:dyDescent="0.3">
      <c r="A129" s="1" t="s">
        <v>14</v>
      </c>
      <c r="B129" s="1" t="s">
        <v>15</v>
      </c>
      <c r="C129" s="1" t="s">
        <v>16</v>
      </c>
      <c r="D129" s="5">
        <v>49.542099999999998</v>
      </c>
      <c r="E129" s="5">
        <v>123.6105</v>
      </c>
      <c r="F129" s="1" t="s">
        <v>17</v>
      </c>
      <c r="G129" s="5" t="s">
        <v>173</v>
      </c>
      <c r="H129" s="5" t="s">
        <v>165</v>
      </c>
      <c r="I129" s="6">
        <v>9.3481119256466627E-4</v>
      </c>
      <c r="J129" s="3" t="s">
        <v>445</v>
      </c>
      <c r="K129" s="5">
        <v>46.31</v>
      </c>
      <c r="L129" s="5">
        <v>0.14699999999999999</v>
      </c>
      <c r="M129" s="5">
        <v>12.58</v>
      </c>
      <c r="N129" s="5">
        <v>8.26</v>
      </c>
      <c r="O129" s="5">
        <v>3.58</v>
      </c>
      <c r="P129" s="5">
        <v>3.09</v>
      </c>
      <c r="Q129" s="5">
        <v>18.033133527690186</v>
      </c>
      <c r="R129" s="5">
        <v>194.90397037581516</v>
      </c>
      <c r="W129" s="5">
        <v>68.069999999999993</v>
      </c>
      <c r="X129" s="5">
        <v>1204.25</v>
      </c>
      <c r="Y129" s="5">
        <v>8.44</v>
      </c>
      <c r="Z129" s="5">
        <v>5.92</v>
      </c>
      <c r="AA129" s="5">
        <v>1.22</v>
      </c>
      <c r="AB129" s="5">
        <v>67.349999999999994</v>
      </c>
      <c r="AC129" s="5">
        <v>3.56</v>
      </c>
      <c r="AD129" s="5">
        <v>66.14</v>
      </c>
      <c r="AE129" s="5">
        <v>115.71</v>
      </c>
      <c r="AH129" s="5">
        <v>1.19962288783712</v>
      </c>
      <c r="AI129" s="5">
        <v>1339.39</v>
      </c>
      <c r="AJ129" s="5">
        <v>19.91</v>
      </c>
      <c r="AK129" s="5">
        <v>253.86</v>
      </c>
      <c r="AL129" s="5">
        <v>5.4626976215349092</v>
      </c>
      <c r="AM129" s="5">
        <v>13052.75</v>
      </c>
      <c r="AN129" s="5">
        <v>3172.63</v>
      </c>
      <c r="AO129" s="5">
        <v>2.9675992648144294</v>
      </c>
      <c r="AP129" s="5">
        <v>12.75</v>
      </c>
      <c r="AQ129" s="5">
        <v>11.38</v>
      </c>
      <c r="AR129" s="5">
        <v>1.02</v>
      </c>
      <c r="AS129" s="5">
        <v>1.01</v>
      </c>
      <c r="AT129" s="5">
        <v>24.24</v>
      </c>
      <c r="AU129" s="5">
        <v>0.13</v>
      </c>
      <c r="AV129" s="5">
        <v>0.17</v>
      </c>
      <c r="AW129" s="5">
        <v>19.89</v>
      </c>
      <c r="AX129" s="5">
        <v>20.25</v>
      </c>
      <c r="AY129" s="5">
        <v>0.02</v>
      </c>
      <c r="BB129" s="5">
        <v>56.14</v>
      </c>
    </row>
    <row r="130" spans="1:54" x14ac:dyDescent="0.3">
      <c r="A130" s="1" t="s">
        <v>14</v>
      </c>
      <c r="B130" s="1" t="s">
        <v>15</v>
      </c>
      <c r="C130" s="1" t="s">
        <v>16</v>
      </c>
      <c r="D130" s="5">
        <v>49.5321</v>
      </c>
      <c r="E130" s="5">
        <v>123.31829999999999</v>
      </c>
      <c r="F130" s="1" t="s">
        <v>17</v>
      </c>
      <c r="G130" s="5" t="s">
        <v>174</v>
      </c>
      <c r="H130" s="5" t="s">
        <v>167</v>
      </c>
      <c r="I130" s="6">
        <v>1.0252499487251039E-3</v>
      </c>
      <c r="J130" s="3" t="s">
        <v>445</v>
      </c>
      <c r="K130" s="5">
        <v>48.71</v>
      </c>
      <c r="L130" s="5">
        <v>0.13200000000000001</v>
      </c>
      <c r="M130" s="5">
        <v>9.01</v>
      </c>
      <c r="N130" s="5">
        <v>8.08</v>
      </c>
      <c r="O130" s="5">
        <v>4.38</v>
      </c>
      <c r="P130" s="5">
        <v>3.38</v>
      </c>
      <c r="Q130" s="5">
        <v>15.092865732670365</v>
      </c>
      <c r="R130" s="5">
        <v>172.4197311840405</v>
      </c>
      <c r="W130" s="5">
        <v>66.06</v>
      </c>
      <c r="X130" s="5">
        <v>1200.6099999999999</v>
      </c>
      <c r="Y130" s="5">
        <v>6.76</v>
      </c>
      <c r="Z130" s="5">
        <v>5.57</v>
      </c>
      <c r="AA130" s="5">
        <v>1.29</v>
      </c>
      <c r="AB130" s="5">
        <v>65.52</v>
      </c>
      <c r="AC130" s="5">
        <v>3.31</v>
      </c>
      <c r="AD130" s="5">
        <v>53.19</v>
      </c>
      <c r="AE130" s="5">
        <v>94.3</v>
      </c>
      <c r="AH130" s="5">
        <v>1.15666059921506</v>
      </c>
      <c r="AI130" s="5">
        <v>1312.81</v>
      </c>
      <c r="AJ130" s="5">
        <v>19.73</v>
      </c>
      <c r="AK130" s="5">
        <v>233.37</v>
      </c>
      <c r="AL130" s="5">
        <v>4.8631387518217455</v>
      </c>
      <c r="AM130" s="5">
        <v>13094.71</v>
      </c>
      <c r="AN130" s="5">
        <v>3233.72</v>
      </c>
      <c r="AO130" s="5">
        <v>2.8616864811045279</v>
      </c>
      <c r="AP130" s="5">
        <v>11.83</v>
      </c>
      <c r="AQ130" s="5">
        <v>11.77</v>
      </c>
      <c r="AR130" s="5">
        <v>1.23</v>
      </c>
      <c r="AS130" s="5">
        <v>1.01</v>
      </c>
      <c r="AT130" s="5">
        <v>27.46</v>
      </c>
      <c r="AU130" s="5">
        <v>0.1</v>
      </c>
      <c r="AV130" s="5">
        <v>0.15</v>
      </c>
      <c r="AW130" s="5">
        <v>20.04</v>
      </c>
      <c r="AX130" s="5">
        <v>24.68</v>
      </c>
      <c r="AY130" s="5">
        <v>0.02</v>
      </c>
      <c r="BB130" s="5">
        <v>56.65</v>
      </c>
    </row>
    <row r="131" spans="1:54" x14ac:dyDescent="0.3">
      <c r="A131" s="1" t="s">
        <v>14</v>
      </c>
      <c r="B131" s="1" t="s">
        <v>15</v>
      </c>
      <c r="C131" s="1" t="s">
        <v>16</v>
      </c>
      <c r="D131" s="5">
        <v>49.208599999999997</v>
      </c>
      <c r="E131" s="5">
        <v>123.7312</v>
      </c>
      <c r="F131" s="1" t="s">
        <v>17</v>
      </c>
      <c r="G131" s="5" t="s">
        <v>175</v>
      </c>
      <c r="H131" s="5" t="s">
        <v>165</v>
      </c>
      <c r="I131" s="6">
        <v>8.2757411291822791E-5</v>
      </c>
      <c r="J131" s="3" t="s">
        <v>445</v>
      </c>
      <c r="K131" s="5">
        <v>48.24</v>
      </c>
      <c r="L131" s="5">
        <v>0.14299999999999999</v>
      </c>
      <c r="M131" s="5">
        <v>9.51</v>
      </c>
      <c r="N131" s="5">
        <v>7.49</v>
      </c>
      <c r="O131" s="5">
        <v>4.2</v>
      </c>
      <c r="P131" s="5">
        <v>3.45</v>
      </c>
      <c r="Q131" s="5">
        <v>14.264031739397986</v>
      </c>
      <c r="R131" s="5">
        <v>160.940806452516</v>
      </c>
      <c r="W131" s="5">
        <v>71.42</v>
      </c>
      <c r="X131" s="5">
        <v>1240.0899999999999</v>
      </c>
      <c r="Y131" s="5">
        <v>7.45</v>
      </c>
      <c r="Z131" s="5">
        <v>6.98</v>
      </c>
      <c r="AA131" s="5">
        <v>1.37</v>
      </c>
      <c r="AB131" s="5">
        <v>75.87</v>
      </c>
      <c r="AC131" s="5">
        <v>3.91</v>
      </c>
      <c r="AD131" s="5">
        <v>66.319999999999993</v>
      </c>
      <c r="AE131" s="5">
        <v>116.76</v>
      </c>
      <c r="AH131" s="5">
        <v>1.2877318992534199</v>
      </c>
      <c r="AI131" s="5">
        <v>1419.99</v>
      </c>
      <c r="AJ131" s="5">
        <v>24.05</v>
      </c>
      <c r="AK131" s="5">
        <v>270.83</v>
      </c>
      <c r="AL131" s="5">
        <v>5.7154678337110294</v>
      </c>
      <c r="AM131" s="5">
        <v>15545.84</v>
      </c>
      <c r="AN131" s="5">
        <v>3552.3</v>
      </c>
      <c r="AO131" s="5">
        <v>3.0363463095593701</v>
      </c>
      <c r="AP131" s="5">
        <v>11.26</v>
      </c>
      <c r="AQ131" s="5">
        <v>10.87</v>
      </c>
      <c r="AR131" s="5">
        <v>1.1399999999999999</v>
      </c>
      <c r="AS131" s="5">
        <v>0.94</v>
      </c>
      <c r="AT131" s="5">
        <v>23.14</v>
      </c>
      <c r="AU131" s="5">
        <v>0.1</v>
      </c>
      <c r="AV131" s="5">
        <v>0.14000000000000001</v>
      </c>
      <c r="AW131" s="5">
        <v>18.72</v>
      </c>
      <c r="AX131" s="5">
        <v>21.41</v>
      </c>
      <c r="AY131" s="5">
        <v>0.02</v>
      </c>
      <c r="BB131" s="5">
        <v>58.92</v>
      </c>
    </row>
    <row r="132" spans="1:54" x14ac:dyDescent="0.3">
      <c r="A132" s="1" t="s">
        <v>14</v>
      </c>
      <c r="B132" s="1" t="s">
        <v>15</v>
      </c>
      <c r="C132" s="1" t="s">
        <v>16</v>
      </c>
      <c r="D132" s="5">
        <v>49.268500000000003</v>
      </c>
      <c r="E132" s="5">
        <v>123.6618</v>
      </c>
      <c r="F132" s="1" t="s">
        <v>17</v>
      </c>
      <c r="G132" s="5" t="s">
        <v>176</v>
      </c>
      <c r="H132" s="5" t="s">
        <v>177</v>
      </c>
      <c r="I132" s="6">
        <v>1.098530919989571E-4</v>
      </c>
      <c r="J132" s="3" t="s">
        <v>445</v>
      </c>
      <c r="K132" s="5">
        <v>48.25</v>
      </c>
      <c r="L132" s="5">
        <v>0.13600000000000001</v>
      </c>
      <c r="M132" s="5">
        <v>10.59</v>
      </c>
      <c r="N132" s="5">
        <v>8.1199999999999992</v>
      </c>
      <c r="O132" s="5">
        <v>3.51</v>
      </c>
      <c r="P132" s="5">
        <v>3.05</v>
      </c>
      <c r="Q132" s="5">
        <v>15.228294809225011</v>
      </c>
      <c r="R132" s="5">
        <v>169.94733190737441</v>
      </c>
      <c r="W132" s="5">
        <v>58.06</v>
      </c>
      <c r="X132" s="5">
        <v>1238.04</v>
      </c>
      <c r="Y132" s="5">
        <v>6.59</v>
      </c>
      <c r="Z132" s="5">
        <v>4.9000000000000004</v>
      </c>
      <c r="AA132" s="5">
        <v>1.03</v>
      </c>
      <c r="AB132" s="5">
        <v>56.51</v>
      </c>
      <c r="AC132" s="5">
        <v>2.74</v>
      </c>
      <c r="AD132" s="5">
        <v>49.13</v>
      </c>
      <c r="AE132" s="5">
        <v>88.32</v>
      </c>
      <c r="AH132" s="5">
        <v>1.18519026663984</v>
      </c>
      <c r="AI132" s="5">
        <v>1347.52</v>
      </c>
      <c r="AJ132" s="5">
        <v>19.8</v>
      </c>
      <c r="AK132" s="5">
        <v>203.51</v>
      </c>
      <c r="AL132" s="5">
        <v>4.2857456684438171</v>
      </c>
      <c r="AM132" s="5">
        <v>13262.51</v>
      </c>
      <c r="AN132" s="5">
        <v>3006.8</v>
      </c>
      <c r="AO132" s="5">
        <v>2.311865087930765</v>
      </c>
      <c r="AP132" s="5">
        <v>10.28</v>
      </c>
      <c r="AQ132" s="5">
        <v>11.53</v>
      </c>
      <c r="AR132" s="5">
        <v>1.1499999999999999</v>
      </c>
      <c r="AS132" s="5">
        <v>1.03</v>
      </c>
      <c r="AT132" s="5">
        <v>29.7</v>
      </c>
      <c r="AU132" s="5">
        <v>0.12</v>
      </c>
      <c r="AV132" s="5">
        <v>0.16</v>
      </c>
      <c r="AW132" s="5">
        <v>23.85</v>
      </c>
      <c r="AX132" s="5">
        <v>27.43</v>
      </c>
      <c r="AY132" s="5">
        <v>0.02</v>
      </c>
      <c r="BB132" s="5">
        <v>47.68</v>
      </c>
    </row>
    <row r="133" spans="1:54" x14ac:dyDescent="0.3">
      <c r="A133" s="1" t="s">
        <v>14</v>
      </c>
      <c r="B133" s="1" t="s">
        <v>15</v>
      </c>
      <c r="C133" s="1" t="s">
        <v>16</v>
      </c>
      <c r="D133" s="5">
        <v>49.374499999999998</v>
      </c>
      <c r="E133" s="5">
        <v>123.4765</v>
      </c>
      <c r="F133" s="1" t="s">
        <v>17</v>
      </c>
      <c r="G133" s="5" t="s">
        <v>178</v>
      </c>
      <c r="H133" s="5" t="s">
        <v>177</v>
      </c>
      <c r="I133" s="6">
        <v>7.8028846473898739E-5</v>
      </c>
      <c r="J133" s="3" t="s">
        <v>445</v>
      </c>
      <c r="K133" s="5">
        <v>47.69</v>
      </c>
      <c r="L133" s="5">
        <v>0.13200000000000001</v>
      </c>
      <c r="M133" s="5">
        <v>10.17</v>
      </c>
      <c r="N133" s="5">
        <v>8.3000000000000007</v>
      </c>
      <c r="O133" s="5">
        <v>3.51</v>
      </c>
      <c r="P133" s="5">
        <v>3.12</v>
      </c>
      <c r="Q133" s="5">
        <v>15.189876252185721</v>
      </c>
      <c r="R133" s="5">
        <v>164.74403028000265</v>
      </c>
      <c r="W133" s="5">
        <v>54.31</v>
      </c>
      <c r="X133" s="5">
        <v>1346.71</v>
      </c>
      <c r="Y133" s="5">
        <v>6.79</v>
      </c>
      <c r="Z133" s="5">
        <v>5.0199999999999996</v>
      </c>
      <c r="AA133" s="5">
        <v>1.1499999999999999</v>
      </c>
      <c r="AB133" s="5">
        <v>58.88</v>
      </c>
      <c r="AC133" s="5">
        <v>2.81</v>
      </c>
      <c r="AD133" s="5">
        <v>51.76</v>
      </c>
      <c r="AE133" s="5">
        <v>91.59</v>
      </c>
      <c r="AH133" s="5">
        <v>1.1470150908554999</v>
      </c>
      <c r="AI133" s="5">
        <v>1446.46</v>
      </c>
      <c r="AJ133" s="5">
        <v>19.37</v>
      </c>
      <c r="AK133" s="5">
        <v>204.16</v>
      </c>
      <c r="AL133" s="5">
        <v>4.2818030329889547</v>
      </c>
      <c r="AM133" s="5">
        <v>12843</v>
      </c>
      <c r="AN133" s="5">
        <v>3037.34</v>
      </c>
      <c r="AO133" s="5">
        <v>2.4498369920348342</v>
      </c>
      <c r="AP133" s="5">
        <v>10.54</v>
      </c>
      <c r="AQ133" s="5">
        <v>11.73</v>
      </c>
      <c r="AR133" s="5">
        <v>1.1399999999999999</v>
      </c>
      <c r="AS133" s="5">
        <v>0.92</v>
      </c>
      <c r="AT133" s="5">
        <v>31.13</v>
      </c>
      <c r="AU133" s="5">
        <v>0.12</v>
      </c>
      <c r="AV133" s="5">
        <v>0.16</v>
      </c>
      <c r="AW133" s="5">
        <v>24.57</v>
      </c>
      <c r="AX133" s="5">
        <v>27.95</v>
      </c>
      <c r="AY133" s="5">
        <v>0.02</v>
      </c>
      <c r="BB133" s="5">
        <v>51.33</v>
      </c>
    </row>
    <row r="134" spans="1:54" x14ac:dyDescent="0.3">
      <c r="A134" s="1" t="s">
        <v>14</v>
      </c>
      <c r="B134" s="1" t="s">
        <v>15</v>
      </c>
      <c r="C134" s="1" t="s">
        <v>16</v>
      </c>
      <c r="D134" s="5">
        <v>49.808799999999998</v>
      </c>
      <c r="E134" s="5">
        <v>123.9854</v>
      </c>
      <c r="F134" s="1" t="s">
        <v>17</v>
      </c>
      <c r="G134" s="5" t="s">
        <v>179</v>
      </c>
      <c r="H134" s="5" t="s">
        <v>165</v>
      </c>
      <c r="I134" s="6">
        <v>9.1043120482936502E-4</v>
      </c>
      <c r="J134" s="3" t="s">
        <v>445</v>
      </c>
      <c r="K134" s="5">
        <v>45.68</v>
      </c>
      <c r="L134" s="5">
        <v>0.15</v>
      </c>
      <c r="M134" s="5">
        <v>12.76</v>
      </c>
      <c r="N134" s="5">
        <v>8.89</v>
      </c>
      <c r="O134" s="5">
        <v>3.48</v>
      </c>
      <c r="P134" s="5">
        <v>2.98</v>
      </c>
      <c r="Q134" s="5">
        <v>20.888787486571722</v>
      </c>
      <c r="R134" s="5">
        <v>218.79877779650766</v>
      </c>
      <c r="W134" s="5">
        <v>64.97</v>
      </c>
      <c r="X134" s="5">
        <v>1128.7</v>
      </c>
      <c r="Y134" s="5">
        <v>8.14</v>
      </c>
      <c r="Z134" s="5">
        <v>6.27</v>
      </c>
      <c r="AA134" s="5">
        <v>1.24</v>
      </c>
      <c r="AB134" s="5">
        <v>65.52</v>
      </c>
      <c r="AC134" s="5">
        <v>3.29</v>
      </c>
      <c r="AD134" s="5">
        <v>64.349999999999994</v>
      </c>
      <c r="AE134" s="5">
        <v>112.67</v>
      </c>
      <c r="AH134" s="5">
        <v>1.2491414464198001</v>
      </c>
      <c r="AI134" s="5">
        <v>1362.15</v>
      </c>
      <c r="AJ134" s="5">
        <v>20.61</v>
      </c>
      <c r="AK134" s="5">
        <v>226.92</v>
      </c>
      <c r="AL134" s="5">
        <v>4.8103197684204702</v>
      </c>
      <c r="AM134" s="5">
        <v>13016.8</v>
      </c>
      <c r="AN134" s="5">
        <v>3190.08</v>
      </c>
      <c r="AO134" s="5">
        <v>2.6338090129260885</v>
      </c>
      <c r="AP134" s="5">
        <v>11.01</v>
      </c>
      <c r="AQ134" s="5">
        <v>10.45</v>
      </c>
      <c r="AR134" s="5">
        <v>1.02</v>
      </c>
      <c r="AS134" s="5">
        <v>0.99</v>
      </c>
      <c r="AT134" s="5">
        <v>23.2</v>
      </c>
      <c r="AU134" s="5">
        <v>0.12</v>
      </c>
      <c r="AV134" s="5">
        <v>0.17</v>
      </c>
      <c r="AW134" s="5">
        <v>20.79</v>
      </c>
      <c r="AX134" s="5">
        <v>21.17</v>
      </c>
      <c r="AY134" s="5">
        <v>0.02</v>
      </c>
      <c r="BB134" s="5">
        <v>52.45</v>
      </c>
    </row>
    <row r="135" spans="1:54" x14ac:dyDescent="0.3">
      <c r="A135" s="1" t="s">
        <v>14</v>
      </c>
      <c r="B135" s="1" t="s">
        <v>15</v>
      </c>
      <c r="C135" s="1" t="s">
        <v>16</v>
      </c>
      <c r="D135" s="5">
        <v>49.654899999999998</v>
      </c>
      <c r="E135" s="5">
        <v>124.00109999999999</v>
      </c>
      <c r="F135" s="1" t="s">
        <v>17</v>
      </c>
      <c r="G135" s="5" t="s">
        <v>180</v>
      </c>
      <c r="H135" s="5" t="s">
        <v>165</v>
      </c>
      <c r="I135" s="6">
        <v>1.4171117218211291E-3</v>
      </c>
      <c r="J135" s="3" t="s">
        <v>445</v>
      </c>
      <c r="K135" s="5">
        <v>45.54</v>
      </c>
      <c r="L135" s="5">
        <v>0.151</v>
      </c>
      <c r="M135" s="5">
        <v>14.48</v>
      </c>
      <c r="N135" s="5">
        <v>8.26</v>
      </c>
      <c r="O135" s="5">
        <v>3.08</v>
      </c>
      <c r="P135" s="5">
        <v>3.02</v>
      </c>
      <c r="Q135" s="5">
        <v>18.408755120052749</v>
      </c>
      <c r="R135" s="5">
        <v>209.04500974660647</v>
      </c>
      <c r="W135" s="5">
        <v>65.959999999999994</v>
      </c>
      <c r="X135" s="5">
        <v>1116.74</v>
      </c>
      <c r="Y135" s="5">
        <v>7.31</v>
      </c>
      <c r="Z135" s="5">
        <v>5.81</v>
      </c>
      <c r="AA135" s="5">
        <v>1.02</v>
      </c>
      <c r="AB135" s="5">
        <v>62.82</v>
      </c>
      <c r="AC135" s="5">
        <v>3.13</v>
      </c>
      <c r="AD135" s="5">
        <v>62.55</v>
      </c>
      <c r="AE135" s="5">
        <v>108.62</v>
      </c>
      <c r="AH135" s="5">
        <v>1.13714006048738</v>
      </c>
      <c r="AI135" s="5">
        <v>1473.72</v>
      </c>
      <c r="AJ135" s="5">
        <v>18.88</v>
      </c>
      <c r="AK135" s="5">
        <v>216.3</v>
      </c>
      <c r="AL135" s="5">
        <v>4.6484988341988025</v>
      </c>
      <c r="AM135" s="5">
        <v>14826.68</v>
      </c>
      <c r="AN135" s="5">
        <v>3150.81</v>
      </c>
      <c r="AO135" s="5">
        <v>2.7525193322786263</v>
      </c>
      <c r="AP135" s="5">
        <v>11.46</v>
      </c>
      <c r="AQ135" s="5">
        <v>10.81</v>
      </c>
      <c r="AR135" s="5">
        <v>1</v>
      </c>
      <c r="AS135" s="5">
        <v>1.05</v>
      </c>
      <c r="AT135" s="5">
        <v>23.68</v>
      </c>
      <c r="AU135" s="5">
        <v>0.12</v>
      </c>
      <c r="AV135" s="5">
        <v>0.16</v>
      </c>
      <c r="AW135" s="5">
        <v>23.46</v>
      </c>
      <c r="AX135" s="5">
        <v>23.56</v>
      </c>
      <c r="AY135" s="5">
        <v>0.02</v>
      </c>
      <c r="BB135" s="5">
        <v>55.24</v>
      </c>
    </row>
    <row r="136" spans="1:54" x14ac:dyDescent="0.3">
      <c r="A136" s="1" t="s">
        <v>14</v>
      </c>
      <c r="B136" s="1" t="s">
        <v>15</v>
      </c>
      <c r="C136" s="1" t="s">
        <v>16</v>
      </c>
      <c r="D136" s="5">
        <v>49.556100000000001</v>
      </c>
      <c r="E136" s="5">
        <v>123.7658</v>
      </c>
      <c r="F136" s="1" t="s">
        <v>17</v>
      </c>
      <c r="G136" s="5" t="s">
        <v>181</v>
      </c>
      <c r="H136" s="5" t="s">
        <v>165</v>
      </c>
      <c r="I136" s="6">
        <v>5.1943532889708877E-4</v>
      </c>
      <c r="J136" s="3" t="s">
        <v>445</v>
      </c>
      <c r="K136" s="5">
        <v>45.92</v>
      </c>
      <c r="L136" s="5">
        <v>0.14299999999999999</v>
      </c>
      <c r="M136" s="5">
        <v>11.33</v>
      </c>
      <c r="N136" s="5">
        <v>7.65</v>
      </c>
      <c r="O136" s="5">
        <v>4.0599999999999996</v>
      </c>
      <c r="P136" s="5">
        <v>4.13</v>
      </c>
      <c r="Q136" s="5">
        <v>14.987156409266577</v>
      </c>
      <c r="R136" s="5">
        <v>185.60023812135182</v>
      </c>
      <c r="W136" s="5">
        <v>83.22</v>
      </c>
      <c r="X136" s="5">
        <v>1469.75</v>
      </c>
      <c r="Y136" s="5">
        <v>9.74</v>
      </c>
      <c r="Z136" s="5">
        <v>8.57</v>
      </c>
      <c r="AA136" s="5">
        <v>1.48</v>
      </c>
      <c r="AB136" s="5">
        <v>92.21</v>
      </c>
      <c r="AC136" s="5">
        <v>4.83</v>
      </c>
      <c r="AD136" s="5">
        <v>86.94</v>
      </c>
      <c r="AE136" s="5">
        <v>152.85</v>
      </c>
      <c r="AH136" s="5">
        <v>1.30144514015728</v>
      </c>
      <c r="AI136" s="5">
        <v>1686</v>
      </c>
      <c r="AJ136" s="5">
        <v>24.66</v>
      </c>
      <c r="AK136" s="5">
        <v>332.48</v>
      </c>
      <c r="AL136" s="5">
        <v>6.978776188107819</v>
      </c>
      <c r="AM136" s="5">
        <v>16798.38</v>
      </c>
      <c r="AN136" s="5">
        <v>4097.8</v>
      </c>
      <c r="AO136" s="5">
        <v>3.7112590081332919</v>
      </c>
      <c r="AP136" s="5">
        <v>13.48</v>
      </c>
      <c r="AQ136" s="5">
        <v>10.76</v>
      </c>
      <c r="AR136" s="5">
        <v>1.06</v>
      </c>
      <c r="AS136" s="5">
        <v>0.9</v>
      </c>
      <c r="AT136" s="5">
        <v>21.79</v>
      </c>
      <c r="AU136" s="5">
        <v>0.11</v>
      </c>
      <c r="AV136" s="5">
        <v>0.14000000000000001</v>
      </c>
      <c r="AW136" s="5">
        <v>18.28</v>
      </c>
      <c r="AX136" s="5">
        <v>19.39</v>
      </c>
      <c r="AY136" s="5">
        <v>0.02</v>
      </c>
      <c r="BB136" s="5">
        <v>70.849999999999994</v>
      </c>
    </row>
    <row r="137" spans="1:54" x14ac:dyDescent="0.3">
      <c r="A137" s="1" t="s">
        <v>14</v>
      </c>
      <c r="B137" s="1" t="s">
        <v>15</v>
      </c>
      <c r="C137" s="1" t="s">
        <v>16</v>
      </c>
      <c r="D137" s="5">
        <v>49.212400000000002</v>
      </c>
      <c r="E137" s="5">
        <v>123.76049999999999</v>
      </c>
      <c r="F137" s="1" t="s">
        <v>17</v>
      </c>
      <c r="G137" s="5" t="s">
        <v>182</v>
      </c>
      <c r="H137" s="5" t="s">
        <v>165</v>
      </c>
      <c r="I137" s="6">
        <v>5.3946070693200447E-5</v>
      </c>
      <c r="J137" s="3" t="s">
        <v>445</v>
      </c>
      <c r="K137" s="5">
        <v>48.07</v>
      </c>
      <c r="L137" s="5">
        <v>0.13800000000000001</v>
      </c>
      <c r="M137" s="5">
        <v>9.26</v>
      </c>
      <c r="N137" s="5">
        <v>7.72</v>
      </c>
      <c r="O137" s="5">
        <v>3.84</v>
      </c>
      <c r="P137" s="5">
        <v>3.39</v>
      </c>
      <c r="Q137" s="5">
        <v>14.292432361194335</v>
      </c>
      <c r="R137" s="5">
        <v>159.46315653585157</v>
      </c>
      <c r="W137" s="5">
        <v>67.09</v>
      </c>
      <c r="X137" s="5">
        <v>1235.1600000000001</v>
      </c>
      <c r="Y137" s="5">
        <v>7.4</v>
      </c>
      <c r="Z137" s="5">
        <v>6.77</v>
      </c>
      <c r="AA137" s="5">
        <v>1.41</v>
      </c>
      <c r="AB137" s="5">
        <v>74.739999999999995</v>
      </c>
      <c r="AC137" s="5">
        <v>3.84</v>
      </c>
      <c r="AD137" s="5">
        <v>66.09</v>
      </c>
      <c r="AE137" s="5">
        <v>117.04</v>
      </c>
      <c r="AH137" s="5">
        <v>1.2883067368458401</v>
      </c>
      <c r="AI137" s="5">
        <v>1401.52</v>
      </c>
      <c r="AJ137" s="5">
        <v>24.26</v>
      </c>
      <c r="AK137" s="5">
        <v>269.02</v>
      </c>
      <c r="AL137" s="5">
        <v>5.6217300597974935</v>
      </c>
      <c r="AM137" s="5">
        <v>15294.14</v>
      </c>
      <c r="AN137" s="5">
        <v>3565.39</v>
      </c>
      <c r="AO137" s="5">
        <v>2.9806566170735609</v>
      </c>
      <c r="AP137" s="5">
        <v>11.09</v>
      </c>
      <c r="AQ137" s="5">
        <v>11.05</v>
      </c>
      <c r="AR137" s="5">
        <v>1.1299999999999999</v>
      </c>
      <c r="AS137" s="5">
        <v>0.9</v>
      </c>
      <c r="AT137" s="5">
        <v>22.86</v>
      </c>
      <c r="AU137" s="5">
        <v>0.1</v>
      </c>
      <c r="AV137" s="5">
        <v>0.14000000000000001</v>
      </c>
      <c r="AW137" s="5">
        <v>18.75</v>
      </c>
      <c r="AX137" s="5">
        <v>21.21</v>
      </c>
      <c r="AY137" s="5">
        <v>0.02</v>
      </c>
      <c r="BB137" s="5">
        <v>58.02</v>
      </c>
    </row>
    <row r="138" spans="1:54" x14ac:dyDescent="0.3">
      <c r="A138" s="1" t="s">
        <v>14</v>
      </c>
      <c r="B138" s="1" t="s">
        <v>15</v>
      </c>
      <c r="C138" s="1" t="s">
        <v>16</v>
      </c>
      <c r="D138" s="5">
        <v>49.374499999999998</v>
      </c>
      <c r="E138" s="5">
        <v>123.4765</v>
      </c>
      <c r="F138" s="1" t="s">
        <v>17</v>
      </c>
      <c r="G138" s="5" t="s">
        <v>183</v>
      </c>
      <c r="H138" s="5" t="s">
        <v>165</v>
      </c>
      <c r="I138" s="6">
        <v>1.8463133892510089E-4</v>
      </c>
      <c r="J138" s="3" t="s">
        <v>445</v>
      </c>
      <c r="K138" s="5">
        <v>48</v>
      </c>
      <c r="L138" s="5">
        <v>0.13700000000000001</v>
      </c>
      <c r="M138" s="5">
        <v>10.46</v>
      </c>
      <c r="N138" s="5">
        <v>8.1300000000000008</v>
      </c>
      <c r="O138" s="5">
        <v>4.0599999999999996</v>
      </c>
      <c r="P138" s="5">
        <v>3.3</v>
      </c>
      <c r="Q138" s="5">
        <v>15.313468338267391</v>
      </c>
      <c r="R138" s="5">
        <v>169.90191077190448</v>
      </c>
      <c r="W138" s="5">
        <v>63.52</v>
      </c>
      <c r="X138" s="5">
        <v>1264.73</v>
      </c>
      <c r="Y138" s="5">
        <v>7.03</v>
      </c>
      <c r="Z138" s="5">
        <v>5.09</v>
      </c>
      <c r="AA138" s="5">
        <v>1.1499999999999999</v>
      </c>
      <c r="AB138" s="5">
        <v>58.49</v>
      </c>
      <c r="AC138" s="5">
        <v>2.81</v>
      </c>
      <c r="AD138" s="5">
        <v>51.8</v>
      </c>
      <c r="AE138" s="5">
        <v>92.37</v>
      </c>
      <c r="AH138" s="5">
        <v>1.12406353135671</v>
      </c>
      <c r="AI138" s="5">
        <v>1395.77</v>
      </c>
      <c r="AJ138" s="5">
        <v>19.55</v>
      </c>
      <c r="AK138" s="5">
        <v>207.22</v>
      </c>
      <c r="AL138" s="5">
        <v>4.3677381918981721</v>
      </c>
      <c r="AM138" s="5">
        <v>13046.76</v>
      </c>
      <c r="AN138" s="5">
        <v>3211.9</v>
      </c>
      <c r="AO138" s="5">
        <v>2.4998587015881717</v>
      </c>
      <c r="AP138" s="5">
        <v>10.6</v>
      </c>
      <c r="AQ138" s="5">
        <v>11.49</v>
      </c>
      <c r="AR138" s="5">
        <v>1.1299999999999999</v>
      </c>
      <c r="AS138" s="5">
        <v>1.0900000000000001</v>
      </c>
      <c r="AT138" s="5">
        <v>29.1</v>
      </c>
      <c r="AU138" s="5">
        <v>0.12</v>
      </c>
      <c r="AV138" s="5">
        <v>0.16</v>
      </c>
      <c r="AW138" s="5">
        <v>23.86</v>
      </c>
      <c r="AX138" s="5">
        <v>26.95</v>
      </c>
      <c r="AY138" s="5">
        <v>0.02</v>
      </c>
      <c r="BB138" s="5">
        <v>52.04</v>
      </c>
    </row>
    <row r="139" spans="1:54" x14ac:dyDescent="0.3">
      <c r="A139" s="1" t="s">
        <v>14</v>
      </c>
      <c r="B139" s="1" t="s">
        <v>15</v>
      </c>
      <c r="C139" s="1" t="s">
        <v>16</v>
      </c>
      <c r="D139" s="5">
        <v>48.75</v>
      </c>
      <c r="E139" s="5">
        <v>126.17</v>
      </c>
      <c r="F139" s="1" t="s">
        <v>17</v>
      </c>
      <c r="G139" s="5" t="s">
        <v>184</v>
      </c>
      <c r="H139" s="5" t="s">
        <v>185</v>
      </c>
      <c r="I139" s="6">
        <v>3.7487834924831992E-4</v>
      </c>
      <c r="J139" s="3" t="s">
        <v>445</v>
      </c>
      <c r="K139" s="5">
        <v>50.97</v>
      </c>
      <c r="L139" s="5">
        <v>0.13</v>
      </c>
      <c r="M139" s="5">
        <v>7.68</v>
      </c>
      <c r="N139" s="5">
        <v>6.67</v>
      </c>
      <c r="O139" s="5">
        <v>3.9</v>
      </c>
      <c r="P139" s="5">
        <v>4.9000000000000004</v>
      </c>
      <c r="Q139" s="5">
        <v>13.4</v>
      </c>
      <c r="R139" s="5">
        <v>0</v>
      </c>
      <c r="W139" s="5">
        <v>92</v>
      </c>
      <c r="X139" s="5">
        <v>1379</v>
      </c>
      <c r="Y139" s="5">
        <v>12.2</v>
      </c>
      <c r="Z139" s="5">
        <v>6.77</v>
      </c>
      <c r="AA139" s="5">
        <v>1.48</v>
      </c>
      <c r="AB139" s="5">
        <v>66.599999999999994</v>
      </c>
      <c r="AC139" s="5">
        <v>4.16</v>
      </c>
      <c r="AD139" s="5">
        <v>85.8</v>
      </c>
      <c r="AE139" s="5">
        <v>151</v>
      </c>
      <c r="AH139" s="5">
        <v>1.2</v>
      </c>
      <c r="AI139" s="5">
        <v>1600</v>
      </c>
      <c r="AJ139" s="5">
        <v>22.8</v>
      </c>
      <c r="AK139" s="5">
        <v>396</v>
      </c>
      <c r="AL139" s="5">
        <v>9.09</v>
      </c>
      <c r="AM139" s="5">
        <v>13664.04</v>
      </c>
      <c r="AN139" s="5">
        <v>4364</v>
      </c>
      <c r="AO139" s="5">
        <v>3.4666666666666668</v>
      </c>
      <c r="AP139" s="5">
        <v>17.37</v>
      </c>
      <c r="AQ139" s="5">
        <v>9.84</v>
      </c>
      <c r="AR139" s="5">
        <v>0.78</v>
      </c>
      <c r="AS139" s="5">
        <v>1.38</v>
      </c>
      <c r="AT139" s="5">
        <v>22.21</v>
      </c>
      <c r="AU139" s="5">
        <v>0.18</v>
      </c>
      <c r="AV139" s="5">
        <v>0.2</v>
      </c>
      <c r="AW139" s="5">
        <v>24.02</v>
      </c>
      <c r="AX139" s="5">
        <v>18.649999999999999</v>
      </c>
      <c r="AY139" s="5">
        <v>0.02</v>
      </c>
      <c r="BB139" s="5">
        <v>55.5</v>
      </c>
    </row>
    <row r="140" spans="1:54" x14ac:dyDescent="0.3">
      <c r="A140" s="1" t="s">
        <v>14</v>
      </c>
      <c r="B140" s="1" t="s">
        <v>15</v>
      </c>
      <c r="C140" s="1" t="s">
        <v>16</v>
      </c>
      <c r="D140" s="5">
        <v>48.75</v>
      </c>
      <c r="E140" s="5">
        <v>126.17</v>
      </c>
      <c r="F140" s="1" t="s">
        <v>17</v>
      </c>
      <c r="G140" s="5" t="s">
        <v>186</v>
      </c>
      <c r="H140" s="5" t="s">
        <v>185</v>
      </c>
      <c r="I140" s="6">
        <v>3.4250578028149897E-4</v>
      </c>
      <c r="J140" s="3" t="s">
        <v>445</v>
      </c>
      <c r="K140" s="5">
        <v>51.08</v>
      </c>
      <c r="L140" s="5">
        <v>0.13</v>
      </c>
      <c r="M140" s="5">
        <v>6.86</v>
      </c>
      <c r="N140" s="5">
        <v>6.57</v>
      </c>
      <c r="O140" s="5">
        <v>3.83</v>
      </c>
      <c r="P140" s="5">
        <v>5.39</v>
      </c>
      <c r="Q140" s="5">
        <v>13</v>
      </c>
      <c r="R140" s="5">
        <v>0</v>
      </c>
      <c r="W140" s="5">
        <v>99.9</v>
      </c>
      <c r="X140" s="5">
        <v>1479</v>
      </c>
      <c r="Y140" s="5">
        <v>14</v>
      </c>
      <c r="Z140" s="5">
        <v>6.77</v>
      </c>
      <c r="AA140" s="5">
        <v>1.52</v>
      </c>
      <c r="AB140" s="5">
        <v>70.400000000000006</v>
      </c>
      <c r="AC140" s="5">
        <v>4.3499999999999996</v>
      </c>
      <c r="AD140" s="5">
        <v>96.4</v>
      </c>
      <c r="AE140" s="5">
        <v>171</v>
      </c>
      <c r="AH140" s="5">
        <v>1.24</v>
      </c>
      <c r="AI140" s="5">
        <v>1834</v>
      </c>
      <c r="AJ140" s="5">
        <v>23.7</v>
      </c>
      <c r="AK140" s="5">
        <v>444</v>
      </c>
      <c r="AL140" s="5">
        <v>10.3</v>
      </c>
      <c r="AM140" s="5">
        <v>15162.29</v>
      </c>
      <c r="AN140" s="5">
        <v>5018.6000000000004</v>
      </c>
      <c r="AO140" s="5">
        <v>3.508064516129032</v>
      </c>
      <c r="AP140" s="5">
        <v>18.73</v>
      </c>
      <c r="AQ140" s="5">
        <v>10.4</v>
      </c>
      <c r="AR140" s="5">
        <v>0.73</v>
      </c>
      <c r="AS140" s="5">
        <v>1.42</v>
      </c>
      <c r="AT140" s="5">
        <v>21.22</v>
      </c>
      <c r="AU140" s="5">
        <v>0.2</v>
      </c>
      <c r="AV140" s="5">
        <v>0.2</v>
      </c>
      <c r="AW140" s="5">
        <v>26.05</v>
      </c>
      <c r="AX140" s="5">
        <v>19.02</v>
      </c>
      <c r="AY140" s="5">
        <v>0.02</v>
      </c>
      <c r="BB140" s="5">
        <v>56.77</v>
      </c>
    </row>
    <row r="141" spans="1:54" x14ac:dyDescent="0.3">
      <c r="A141" s="1" t="s">
        <v>14</v>
      </c>
      <c r="B141" s="1" t="s">
        <v>15</v>
      </c>
      <c r="C141" s="1" t="s">
        <v>16</v>
      </c>
      <c r="D141" s="5">
        <v>48.75</v>
      </c>
      <c r="E141" s="5">
        <v>126.17</v>
      </c>
      <c r="F141" s="1" t="s">
        <v>17</v>
      </c>
      <c r="G141" s="5" t="s">
        <v>187</v>
      </c>
      <c r="H141" s="5" t="s">
        <v>185</v>
      </c>
      <c r="I141" s="6">
        <v>2.206166536780074E-4</v>
      </c>
      <c r="J141" s="3" t="s">
        <v>445</v>
      </c>
      <c r="K141" s="5">
        <v>48.9</v>
      </c>
      <c r="L141" s="5">
        <v>0.15</v>
      </c>
      <c r="M141" s="5">
        <v>7.88</v>
      </c>
      <c r="N141" s="5">
        <v>8.0299999999999994</v>
      </c>
      <c r="O141" s="5">
        <v>4.12</v>
      </c>
      <c r="P141" s="5">
        <v>4.7300000000000004</v>
      </c>
      <c r="Q141" s="5">
        <v>12.1</v>
      </c>
      <c r="R141" s="5">
        <v>0</v>
      </c>
      <c r="W141" s="5">
        <v>88.8</v>
      </c>
      <c r="X141" s="5">
        <v>1737</v>
      </c>
      <c r="Y141" s="5">
        <v>12.2</v>
      </c>
      <c r="Z141" s="5">
        <v>7.51</v>
      </c>
      <c r="AA141" s="5">
        <v>1.47</v>
      </c>
      <c r="AB141" s="5">
        <v>70.599999999999994</v>
      </c>
      <c r="AC141" s="5">
        <v>4.38</v>
      </c>
      <c r="AD141" s="5">
        <v>111.9</v>
      </c>
      <c r="AE141" s="5">
        <v>195</v>
      </c>
      <c r="AH141" s="5">
        <v>1.31</v>
      </c>
      <c r="AI141" s="5">
        <v>1881</v>
      </c>
      <c r="AJ141" s="5">
        <v>27</v>
      </c>
      <c r="AK141" s="5">
        <v>363</v>
      </c>
      <c r="AL141" s="5">
        <v>8.33</v>
      </c>
      <c r="AM141" s="5">
        <v>14023.62</v>
      </c>
      <c r="AN141" s="5">
        <v>5149.5200000000004</v>
      </c>
      <c r="AO141" s="5">
        <v>3.343511450381679</v>
      </c>
      <c r="AP141" s="5">
        <v>13.44</v>
      </c>
      <c r="AQ141" s="5">
        <v>9.4</v>
      </c>
      <c r="AR141" s="5">
        <v>0.63</v>
      </c>
      <c r="AS141" s="5">
        <v>1.26</v>
      </c>
      <c r="AT141" s="5">
        <v>21.71</v>
      </c>
      <c r="AU141" s="5">
        <v>0.17</v>
      </c>
      <c r="AV141" s="5">
        <v>0.15</v>
      </c>
      <c r="AW141" s="5">
        <v>26.64</v>
      </c>
      <c r="AX141" s="5">
        <v>16.809999999999999</v>
      </c>
      <c r="AY141" s="5">
        <v>0.02</v>
      </c>
      <c r="BB141" s="5">
        <v>53.89</v>
      </c>
    </row>
    <row r="142" spans="1:54" x14ac:dyDescent="0.3">
      <c r="A142" s="1" t="s">
        <v>14</v>
      </c>
      <c r="B142" s="1" t="s">
        <v>15</v>
      </c>
      <c r="C142" s="1" t="s">
        <v>16</v>
      </c>
      <c r="D142" s="5">
        <v>48.75</v>
      </c>
      <c r="E142" s="5">
        <v>126.17</v>
      </c>
      <c r="F142" s="1" t="s">
        <v>17</v>
      </c>
      <c r="G142" s="5" t="s">
        <v>188</v>
      </c>
      <c r="H142" s="5" t="s">
        <v>185</v>
      </c>
      <c r="I142" s="6">
        <v>3.3313551102764899E-4</v>
      </c>
      <c r="J142" s="3" t="s">
        <v>445</v>
      </c>
      <c r="K142" s="5">
        <v>51.13</v>
      </c>
      <c r="L142" s="5">
        <v>0.13</v>
      </c>
      <c r="M142" s="5">
        <v>7.25</v>
      </c>
      <c r="N142" s="5">
        <v>7.12</v>
      </c>
      <c r="O142" s="5">
        <v>3.82</v>
      </c>
      <c r="P142" s="5">
        <v>4.51</v>
      </c>
      <c r="Q142" s="5">
        <v>13.1</v>
      </c>
      <c r="R142" s="5">
        <v>0</v>
      </c>
      <c r="W142" s="5">
        <v>84.7</v>
      </c>
      <c r="X142" s="5">
        <v>1350</v>
      </c>
      <c r="Y142" s="5">
        <v>10.5</v>
      </c>
      <c r="Z142" s="5">
        <v>5.71</v>
      </c>
      <c r="AA142" s="5">
        <v>1.1599999999999999</v>
      </c>
      <c r="AB142" s="5">
        <v>57.9</v>
      </c>
      <c r="AC142" s="5">
        <v>3.59</v>
      </c>
      <c r="AD142" s="5">
        <v>80.099999999999994</v>
      </c>
      <c r="AE142" s="5">
        <v>142</v>
      </c>
      <c r="AH142" s="5">
        <v>1.23</v>
      </c>
      <c r="AI142" s="5">
        <v>1558</v>
      </c>
      <c r="AJ142" s="5">
        <v>22.7</v>
      </c>
      <c r="AK142" s="5">
        <v>344</v>
      </c>
      <c r="AL142" s="5">
        <v>8</v>
      </c>
      <c r="AM142" s="5">
        <v>13484.25</v>
      </c>
      <c r="AN142" s="5">
        <v>4058.52</v>
      </c>
      <c r="AO142" s="5">
        <v>2.9186991869918697</v>
      </c>
      <c r="AP142" s="5">
        <v>15.15</v>
      </c>
      <c r="AQ142" s="5">
        <v>10.14</v>
      </c>
      <c r="AR142" s="5">
        <v>0.72</v>
      </c>
      <c r="AS142" s="5">
        <v>1.46</v>
      </c>
      <c r="AT142" s="5">
        <v>22.73</v>
      </c>
      <c r="AU142" s="5">
        <v>0.18</v>
      </c>
      <c r="AV142" s="5">
        <v>0.18</v>
      </c>
      <c r="AW142" s="5">
        <v>26.91</v>
      </c>
      <c r="AX142" s="5">
        <v>19.45</v>
      </c>
      <c r="AY142" s="5">
        <v>0.02</v>
      </c>
      <c r="BB142" s="5">
        <v>47.07</v>
      </c>
    </row>
    <row r="143" spans="1:54" x14ac:dyDescent="0.3">
      <c r="A143" s="1" t="s">
        <v>14</v>
      </c>
      <c r="B143" s="1" t="s">
        <v>15</v>
      </c>
      <c r="C143" s="1" t="s">
        <v>16</v>
      </c>
      <c r="D143" s="5">
        <v>49</v>
      </c>
      <c r="E143" s="5">
        <v>126.25</v>
      </c>
      <c r="F143" s="1" t="s">
        <v>17</v>
      </c>
      <c r="G143" s="5" t="s">
        <v>189</v>
      </c>
      <c r="H143" s="5" t="s">
        <v>190</v>
      </c>
      <c r="I143" s="6">
        <v>4.6460970770567661E-4</v>
      </c>
      <c r="J143" s="3" t="s">
        <v>445</v>
      </c>
      <c r="K143" s="5">
        <v>51.44</v>
      </c>
      <c r="L143" s="5">
        <v>0.11</v>
      </c>
      <c r="M143" s="5">
        <v>6.65</v>
      </c>
      <c r="N143" s="5">
        <v>5.89</v>
      </c>
      <c r="O143" s="5">
        <v>3.77</v>
      </c>
      <c r="P143" s="5">
        <v>5.59</v>
      </c>
      <c r="Q143" s="5">
        <v>11</v>
      </c>
      <c r="R143" s="5">
        <v>105</v>
      </c>
      <c r="W143" s="5">
        <v>103</v>
      </c>
      <c r="X143" s="5">
        <v>1528</v>
      </c>
      <c r="Y143" s="5">
        <v>13.2</v>
      </c>
      <c r="Z143" s="5">
        <v>5.6</v>
      </c>
      <c r="AA143" s="5">
        <v>1.1000000000000001</v>
      </c>
      <c r="AB143" s="5">
        <v>64</v>
      </c>
      <c r="AC143" s="5">
        <v>4.3</v>
      </c>
      <c r="AD143" s="5">
        <v>95</v>
      </c>
      <c r="AE143" s="5">
        <v>182</v>
      </c>
      <c r="AH143" s="5">
        <v>1.21</v>
      </c>
      <c r="AI143" s="5">
        <v>1902</v>
      </c>
      <c r="AJ143" s="5">
        <v>22.6</v>
      </c>
      <c r="AK143" s="5">
        <v>496</v>
      </c>
      <c r="AL143" s="5">
        <v>9.9</v>
      </c>
      <c r="AM143" s="5">
        <v>14802.71</v>
      </c>
      <c r="AN143" s="5">
        <v>5193.16</v>
      </c>
      <c r="AO143" s="5">
        <v>3.553719008264463</v>
      </c>
      <c r="AP143" s="5">
        <v>21.95</v>
      </c>
      <c r="AQ143" s="5">
        <v>11.43</v>
      </c>
      <c r="AR143" s="5">
        <v>0.67</v>
      </c>
      <c r="AS143" s="5">
        <v>1.61</v>
      </c>
      <c r="AT143" s="5">
        <v>20.73</v>
      </c>
      <c r="AU143" s="5">
        <v>0.21</v>
      </c>
      <c r="AV143" s="5">
        <v>0.18</v>
      </c>
      <c r="AW143" s="5">
        <v>29.72</v>
      </c>
      <c r="AX143" s="5">
        <v>20.02</v>
      </c>
      <c r="AY143" s="5">
        <v>0.02</v>
      </c>
      <c r="BB143" s="5">
        <v>52.89</v>
      </c>
    </row>
    <row r="144" spans="1:54" x14ac:dyDescent="0.3">
      <c r="A144" s="1" t="s">
        <v>14</v>
      </c>
      <c r="B144" s="1" t="s">
        <v>15</v>
      </c>
      <c r="C144" s="1" t="s">
        <v>16</v>
      </c>
      <c r="D144" s="5">
        <v>49</v>
      </c>
      <c r="E144" s="5">
        <v>126.25</v>
      </c>
      <c r="F144" s="1" t="s">
        <v>17</v>
      </c>
      <c r="G144" s="5" t="s">
        <v>191</v>
      </c>
      <c r="H144" s="5" t="s">
        <v>192</v>
      </c>
      <c r="I144" s="6">
        <v>1.96368302567862E-4</v>
      </c>
      <c r="J144" s="3" t="s">
        <v>445</v>
      </c>
      <c r="K144" s="5">
        <v>51.14</v>
      </c>
      <c r="L144" s="5">
        <v>0.12</v>
      </c>
      <c r="M144" s="5">
        <v>6.47</v>
      </c>
      <c r="N144" s="5">
        <v>6.21</v>
      </c>
      <c r="O144" s="5">
        <v>3.73</v>
      </c>
      <c r="P144" s="5">
        <v>5.36</v>
      </c>
      <c r="Q144" s="5">
        <v>13</v>
      </c>
      <c r="R144" s="5">
        <v>133</v>
      </c>
      <c r="W144" s="5">
        <v>99.3</v>
      </c>
      <c r="X144" s="5">
        <v>1272</v>
      </c>
      <c r="Y144" s="5">
        <v>23</v>
      </c>
      <c r="Z144" s="5">
        <v>7</v>
      </c>
      <c r="AA144" s="5">
        <v>1.5</v>
      </c>
      <c r="AB144" s="5">
        <v>69</v>
      </c>
      <c r="AC144" s="5">
        <v>3.8</v>
      </c>
      <c r="AD144" s="5">
        <v>85</v>
      </c>
      <c r="AE144" s="5">
        <v>165</v>
      </c>
      <c r="AH144" s="5">
        <v>1.4</v>
      </c>
      <c r="AI144" s="5">
        <v>1778</v>
      </c>
      <c r="AJ144" s="5">
        <v>22.9</v>
      </c>
      <c r="AK144" s="5">
        <v>456</v>
      </c>
      <c r="AL144" s="5">
        <v>11</v>
      </c>
      <c r="AM144" s="5">
        <v>14862.64</v>
      </c>
      <c r="AN144" s="5">
        <v>4451.28</v>
      </c>
      <c r="AO144" s="5">
        <v>2.7142857142857144</v>
      </c>
      <c r="AP144" s="5">
        <v>19.91</v>
      </c>
      <c r="AQ144" s="5">
        <v>9.86</v>
      </c>
      <c r="AR144" s="5">
        <v>0.81</v>
      </c>
      <c r="AS144" s="5">
        <v>1.44</v>
      </c>
      <c r="AT144" s="5">
        <v>18.989999999999998</v>
      </c>
      <c r="AU144" s="5">
        <v>0.33</v>
      </c>
      <c r="AV144" s="5">
        <v>0.34</v>
      </c>
      <c r="AW144" s="5">
        <v>25.77</v>
      </c>
      <c r="AX144" s="5">
        <v>20.92</v>
      </c>
      <c r="AY144" s="5">
        <v>0.02</v>
      </c>
      <c r="BB144" s="5">
        <v>49.29</v>
      </c>
    </row>
    <row r="145" spans="1:54" x14ac:dyDescent="0.3">
      <c r="A145" s="1" t="s">
        <v>14</v>
      </c>
      <c r="B145" s="1" t="s">
        <v>15</v>
      </c>
      <c r="C145" s="1" t="s">
        <v>16</v>
      </c>
      <c r="D145" s="5">
        <v>48.72</v>
      </c>
      <c r="E145" s="5">
        <v>126.12</v>
      </c>
      <c r="F145" s="1" t="s">
        <v>17</v>
      </c>
      <c r="G145" s="5" t="s">
        <v>193</v>
      </c>
      <c r="H145" s="5" t="s">
        <v>192</v>
      </c>
      <c r="I145" s="6">
        <v>1.450828567612916E-4</v>
      </c>
      <c r="J145" s="3" t="s">
        <v>445</v>
      </c>
      <c r="K145" s="5">
        <v>48.16</v>
      </c>
      <c r="L145" s="5">
        <v>0.14000000000000001</v>
      </c>
      <c r="M145" s="5">
        <v>7.75</v>
      </c>
      <c r="N145" s="5">
        <v>8.11</v>
      </c>
      <c r="O145" s="5">
        <v>4.18</v>
      </c>
      <c r="P145" s="5">
        <v>4.59</v>
      </c>
      <c r="Q145" s="5">
        <v>13</v>
      </c>
      <c r="R145" s="5">
        <v>135</v>
      </c>
      <c r="W145" s="5">
        <v>88.7</v>
      </c>
      <c r="X145" s="5">
        <v>1653</v>
      </c>
      <c r="Y145" s="5">
        <v>12</v>
      </c>
      <c r="Z145" s="5">
        <v>8</v>
      </c>
      <c r="AA145" s="5">
        <v>1.9</v>
      </c>
      <c r="AB145" s="5">
        <v>72</v>
      </c>
      <c r="AC145" s="5">
        <v>4.0999999999999996</v>
      </c>
      <c r="AD145" s="5">
        <v>99</v>
      </c>
      <c r="AE145" s="5">
        <v>185</v>
      </c>
      <c r="AH145" s="5">
        <v>1.4</v>
      </c>
      <c r="AI145" s="5">
        <v>1912</v>
      </c>
      <c r="AJ145" s="5">
        <v>26.5</v>
      </c>
      <c r="AK145" s="5">
        <v>373</v>
      </c>
      <c r="AL145" s="5">
        <v>6.9</v>
      </c>
      <c r="AM145" s="5">
        <v>13723.97</v>
      </c>
      <c r="AN145" s="5">
        <v>4844.04</v>
      </c>
      <c r="AO145" s="5">
        <v>2.9285714285714284</v>
      </c>
      <c r="AP145" s="5">
        <v>14.08</v>
      </c>
      <c r="AQ145" s="5">
        <v>9</v>
      </c>
      <c r="AR145" s="5">
        <v>0.73</v>
      </c>
      <c r="AS145" s="5">
        <v>1.23</v>
      </c>
      <c r="AT145" s="5">
        <v>21.19</v>
      </c>
      <c r="AU145" s="5">
        <v>0.17</v>
      </c>
      <c r="AV145" s="5">
        <v>0.15</v>
      </c>
      <c r="AW145" s="5">
        <v>26.56</v>
      </c>
      <c r="AX145" s="5">
        <v>19.309999999999999</v>
      </c>
      <c r="AY145" s="5">
        <v>0.03</v>
      </c>
      <c r="BB145" s="5">
        <v>51.43</v>
      </c>
    </row>
    <row r="146" spans="1:54" x14ac:dyDescent="0.3">
      <c r="A146" s="1" t="s">
        <v>14</v>
      </c>
      <c r="B146" s="1" t="s">
        <v>15</v>
      </c>
      <c r="C146" s="1" t="s">
        <v>16</v>
      </c>
      <c r="D146" s="5">
        <v>48</v>
      </c>
      <c r="E146" s="5">
        <v>127</v>
      </c>
      <c r="F146" s="1" t="s">
        <v>17</v>
      </c>
      <c r="G146" s="5" t="s">
        <v>194</v>
      </c>
      <c r="H146" s="5" t="s">
        <v>63</v>
      </c>
      <c r="I146" s="6">
        <v>1.3435633445624259E-4</v>
      </c>
      <c r="J146" s="3" t="s">
        <v>445</v>
      </c>
      <c r="K146" s="5">
        <v>51.07</v>
      </c>
      <c r="L146" s="5">
        <v>0.11</v>
      </c>
      <c r="M146" s="5">
        <v>5.89</v>
      </c>
      <c r="N146" s="5">
        <v>6.21</v>
      </c>
      <c r="O146" s="5">
        <v>3.39</v>
      </c>
      <c r="P146" s="5">
        <v>5.42</v>
      </c>
      <c r="Q146" s="5">
        <v>10.5</v>
      </c>
      <c r="R146" s="5">
        <v>108</v>
      </c>
      <c r="W146" s="5">
        <v>107</v>
      </c>
      <c r="X146" s="5">
        <v>887</v>
      </c>
      <c r="Y146" s="5">
        <v>17.7</v>
      </c>
      <c r="Z146" s="5">
        <v>6.31</v>
      </c>
      <c r="AA146" s="5">
        <v>1.44</v>
      </c>
      <c r="AB146" s="5">
        <v>60.6</v>
      </c>
      <c r="AC146" s="5">
        <v>1.89</v>
      </c>
      <c r="AD146" s="5">
        <v>94.2</v>
      </c>
      <c r="AE146" s="5">
        <v>157.30000000000001</v>
      </c>
      <c r="AH146" s="5">
        <v>1.37</v>
      </c>
      <c r="AI146" s="5">
        <v>2081</v>
      </c>
      <c r="AJ146" s="5">
        <v>25.8</v>
      </c>
      <c r="AK146" s="5">
        <v>508</v>
      </c>
      <c r="AL146" s="5">
        <v>8.5500000000000007</v>
      </c>
      <c r="AM146" s="5">
        <v>13723.97</v>
      </c>
      <c r="AN146" s="5">
        <v>5367.72</v>
      </c>
      <c r="AO146" s="5">
        <v>1.3795620437956202</v>
      </c>
      <c r="AP146" s="5">
        <v>19.690000000000001</v>
      </c>
      <c r="AQ146" s="5">
        <v>9.6</v>
      </c>
      <c r="AR146" s="5">
        <v>0.64</v>
      </c>
      <c r="AS146" s="5">
        <v>1.77</v>
      </c>
      <c r="AT146" s="5">
        <v>10.84</v>
      </c>
      <c r="AU146" s="5">
        <v>0.28999999999999998</v>
      </c>
      <c r="AV146" s="5">
        <v>0.22</v>
      </c>
      <c r="AW146" s="5">
        <v>34.340000000000003</v>
      </c>
      <c r="AX146" s="5">
        <v>22.09</v>
      </c>
      <c r="AY146" s="5">
        <v>0.02</v>
      </c>
      <c r="BB146" s="5">
        <v>44.23</v>
      </c>
    </row>
    <row r="147" spans="1:54" x14ac:dyDescent="0.3">
      <c r="A147" s="1" t="s">
        <v>14</v>
      </c>
      <c r="B147" s="1" t="s">
        <v>15</v>
      </c>
      <c r="C147" s="1" t="s">
        <v>16</v>
      </c>
      <c r="D147" s="5">
        <v>48.739699999999999</v>
      </c>
      <c r="E147" s="5">
        <v>126.1523</v>
      </c>
      <c r="F147" s="1" t="s">
        <v>17</v>
      </c>
      <c r="G147" s="5" t="s">
        <v>195</v>
      </c>
      <c r="H147" s="5" t="s">
        <v>196</v>
      </c>
      <c r="I147" s="6">
        <v>1.6001472249627111E-4</v>
      </c>
      <c r="J147" s="3" t="s">
        <v>445</v>
      </c>
      <c r="K147" s="5">
        <v>50.3</v>
      </c>
      <c r="L147" s="5">
        <v>0.13</v>
      </c>
      <c r="M147" s="5">
        <v>8.0399999999999991</v>
      </c>
      <c r="N147" s="5">
        <v>7.89</v>
      </c>
      <c r="O147" s="5">
        <v>3.89</v>
      </c>
      <c r="P147" s="5">
        <v>3.58</v>
      </c>
      <c r="Q147" s="5">
        <v>14.1</v>
      </c>
      <c r="R147" s="5">
        <v>0</v>
      </c>
      <c r="W147" s="5">
        <v>78</v>
      </c>
      <c r="X147" s="5">
        <v>1423</v>
      </c>
      <c r="Y147" s="5">
        <v>11.9</v>
      </c>
      <c r="Z147" s="5">
        <v>7.64</v>
      </c>
      <c r="AA147" s="5">
        <v>1.59</v>
      </c>
      <c r="AB147" s="5">
        <v>55.1</v>
      </c>
      <c r="AC147" s="5">
        <v>3.11</v>
      </c>
      <c r="AD147" s="5">
        <v>88.1</v>
      </c>
      <c r="AE147" s="5">
        <v>164.8</v>
      </c>
      <c r="AH147" s="5">
        <v>1.39</v>
      </c>
      <c r="AI147" s="5">
        <v>1572</v>
      </c>
      <c r="AJ147" s="5">
        <v>24.3</v>
      </c>
      <c r="AK147" s="5">
        <v>322</v>
      </c>
      <c r="AL147" s="5">
        <v>7.88</v>
      </c>
      <c r="AM147" s="5">
        <v>13304.46</v>
      </c>
      <c r="AN147" s="5">
        <v>4145.8</v>
      </c>
      <c r="AO147" s="5">
        <v>2.2374100719424459</v>
      </c>
      <c r="AP147" s="5">
        <v>13.25</v>
      </c>
      <c r="AQ147" s="5">
        <v>7.21</v>
      </c>
      <c r="AR147" s="5">
        <v>0.63</v>
      </c>
      <c r="AS147" s="5">
        <v>1.42</v>
      </c>
      <c r="AT147" s="5">
        <v>20.100000000000001</v>
      </c>
      <c r="AU147" s="5">
        <v>0.22</v>
      </c>
      <c r="AV147" s="5">
        <v>0.17</v>
      </c>
      <c r="AW147" s="5">
        <v>28.53</v>
      </c>
      <c r="AX147" s="5">
        <v>17.84</v>
      </c>
      <c r="AY147" s="5">
        <v>0.03</v>
      </c>
      <c r="BB147" s="5">
        <v>39.64</v>
      </c>
    </row>
    <row r="148" spans="1:54" x14ac:dyDescent="0.3">
      <c r="A148" s="1" t="s">
        <v>14</v>
      </c>
      <c r="B148" s="1" t="s">
        <v>15</v>
      </c>
      <c r="C148" s="1" t="s">
        <v>16</v>
      </c>
      <c r="D148" s="5">
        <v>48.735199999999999</v>
      </c>
      <c r="E148" s="5">
        <v>126.1588</v>
      </c>
      <c r="F148" s="1" t="s">
        <v>17</v>
      </c>
      <c r="G148" s="5" t="s">
        <v>197</v>
      </c>
      <c r="H148" s="5" t="s">
        <v>198</v>
      </c>
      <c r="I148" s="6">
        <v>1.5043551684357231E-4</v>
      </c>
      <c r="J148" s="3" t="s">
        <v>445</v>
      </c>
      <c r="K148" s="5">
        <v>50.5</v>
      </c>
      <c r="L148" s="5">
        <v>0.12</v>
      </c>
      <c r="M148" s="5">
        <v>7.65</v>
      </c>
      <c r="N148" s="5">
        <v>7.69</v>
      </c>
      <c r="O148" s="5">
        <v>3.86</v>
      </c>
      <c r="P148" s="5">
        <v>4.3099999999999996</v>
      </c>
      <c r="Q148" s="5">
        <v>13.5</v>
      </c>
      <c r="R148" s="5">
        <v>0</v>
      </c>
      <c r="W148" s="5">
        <v>78</v>
      </c>
      <c r="X148" s="5">
        <v>1308</v>
      </c>
      <c r="Y148" s="5">
        <v>17.100000000000001</v>
      </c>
      <c r="Z148" s="5">
        <v>7.28</v>
      </c>
      <c r="AA148" s="5">
        <v>1.43</v>
      </c>
      <c r="AB148" s="5">
        <v>53.2</v>
      </c>
      <c r="AC148" s="5">
        <v>3.08</v>
      </c>
      <c r="AD148" s="5">
        <v>79.5</v>
      </c>
      <c r="AE148" s="5">
        <v>150</v>
      </c>
      <c r="AH148" s="5">
        <v>1.33</v>
      </c>
      <c r="AI148" s="5">
        <v>1507</v>
      </c>
      <c r="AJ148" s="5">
        <v>22.7</v>
      </c>
      <c r="AK148" s="5">
        <v>318</v>
      </c>
      <c r="AL148" s="5">
        <v>7.98</v>
      </c>
      <c r="AM148" s="5">
        <v>13604.11</v>
      </c>
      <c r="AN148" s="5">
        <v>4014.88</v>
      </c>
      <c r="AO148" s="5">
        <v>2.3157894736842106</v>
      </c>
      <c r="AP148" s="5">
        <v>14.01</v>
      </c>
      <c r="AQ148" s="5">
        <v>7.31</v>
      </c>
      <c r="AR148" s="5">
        <v>0.67</v>
      </c>
      <c r="AS148" s="5">
        <v>1.47</v>
      </c>
      <c r="AT148" s="5">
        <v>19.760000000000002</v>
      </c>
      <c r="AU148" s="5">
        <v>0.32</v>
      </c>
      <c r="AV148" s="5">
        <v>0.26</v>
      </c>
      <c r="AW148" s="5">
        <v>28.33</v>
      </c>
      <c r="AX148" s="5">
        <v>18.96</v>
      </c>
      <c r="AY148" s="5">
        <v>0.03</v>
      </c>
      <c r="BB148" s="5">
        <v>40</v>
      </c>
    </row>
    <row r="149" spans="1:54" x14ac:dyDescent="0.3">
      <c r="A149" s="1" t="s">
        <v>14</v>
      </c>
      <c r="B149" s="1" t="s">
        <v>15</v>
      </c>
      <c r="C149" s="1" t="s">
        <v>16</v>
      </c>
      <c r="D149" s="5">
        <v>48.735300000000002</v>
      </c>
      <c r="E149" s="5">
        <v>126.1571</v>
      </c>
      <c r="F149" s="1" t="s">
        <v>17</v>
      </c>
      <c r="G149" s="5" t="s">
        <v>199</v>
      </c>
      <c r="H149" s="5" t="s">
        <v>198</v>
      </c>
      <c r="I149" s="6">
        <v>1.34012007038109E-4</v>
      </c>
      <c r="J149" s="3" t="s">
        <v>445</v>
      </c>
      <c r="K149" s="5">
        <v>50.21</v>
      </c>
      <c r="L149" s="5">
        <v>0.12</v>
      </c>
      <c r="M149" s="5">
        <v>8</v>
      </c>
      <c r="N149" s="5">
        <v>7.8</v>
      </c>
      <c r="O149" s="5">
        <v>3.81</v>
      </c>
      <c r="P149" s="5">
        <v>4.18</v>
      </c>
      <c r="Q149" s="5">
        <v>15.2</v>
      </c>
      <c r="R149" s="5">
        <v>0</v>
      </c>
      <c r="W149" s="5">
        <v>80</v>
      </c>
      <c r="X149" s="5">
        <v>1355</v>
      </c>
      <c r="Y149" s="5">
        <v>10.8</v>
      </c>
      <c r="Z149" s="5">
        <v>7.61</v>
      </c>
      <c r="AA149" s="5">
        <v>1.6</v>
      </c>
      <c r="AB149" s="5">
        <v>54.9</v>
      </c>
      <c r="AC149" s="5">
        <v>3.17</v>
      </c>
      <c r="AD149" s="5">
        <v>82.6</v>
      </c>
      <c r="AE149" s="5">
        <v>155.9</v>
      </c>
      <c r="AH149" s="5">
        <v>1.37</v>
      </c>
      <c r="AI149" s="5">
        <v>1544</v>
      </c>
      <c r="AJ149" s="5">
        <v>23.4</v>
      </c>
      <c r="AK149" s="5">
        <v>329</v>
      </c>
      <c r="AL149" s="5">
        <v>7.96</v>
      </c>
      <c r="AM149" s="5">
        <v>13484.25</v>
      </c>
      <c r="AN149" s="5">
        <v>4058.52</v>
      </c>
      <c r="AO149" s="5">
        <v>2.3138686131386859</v>
      </c>
      <c r="AP149" s="5">
        <v>14.06</v>
      </c>
      <c r="AQ149" s="5">
        <v>7.21</v>
      </c>
      <c r="AR149" s="5">
        <v>0.66</v>
      </c>
      <c r="AS149" s="5">
        <v>1.46</v>
      </c>
      <c r="AT149" s="5">
        <v>19.84</v>
      </c>
      <c r="AU149" s="5">
        <v>0.2</v>
      </c>
      <c r="AV149" s="5">
        <v>0.16</v>
      </c>
      <c r="AW149" s="5">
        <v>28.12</v>
      </c>
      <c r="AX149" s="5">
        <v>18.690000000000001</v>
      </c>
      <c r="AY149" s="5">
        <v>0.03</v>
      </c>
      <c r="BB149" s="5">
        <v>40.07</v>
      </c>
    </row>
    <row r="150" spans="1:54" x14ac:dyDescent="0.3">
      <c r="A150" s="1" t="s">
        <v>14</v>
      </c>
      <c r="B150" s="1" t="s">
        <v>15</v>
      </c>
      <c r="C150" s="1" t="s">
        <v>16</v>
      </c>
      <c r="D150" s="5">
        <v>48.735999999999997</v>
      </c>
      <c r="E150" s="5">
        <v>126.1562</v>
      </c>
      <c r="F150" s="1" t="s">
        <v>17</v>
      </c>
      <c r="G150" s="5" t="s">
        <v>200</v>
      </c>
      <c r="H150" s="5" t="s">
        <v>198</v>
      </c>
      <c r="I150" s="6">
        <v>2.222370094386861E-4</v>
      </c>
      <c r="J150" s="3" t="s">
        <v>445</v>
      </c>
      <c r="K150" s="5">
        <v>51.74</v>
      </c>
      <c r="L150" s="5">
        <v>0.12</v>
      </c>
      <c r="M150" s="5">
        <v>7.49</v>
      </c>
      <c r="N150" s="5">
        <v>7.21</v>
      </c>
      <c r="O150" s="5">
        <v>3.78</v>
      </c>
      <c r="P150" s="5">
        <v>4.3600000000000003</v>
      </c>
      <c r="Q150" s="5">
        <v>12.9</v>
      </c>
      <c r="R150" s="5">
        <v>131</v>
      </c>
      <c r="W150" s="5">
        <v>79</v>
      </c>
      <c r="X150" s="5">
        <v>1130</v>
      </c>
      <c r="Y150" s="5">
        <v>10</v>
      </c>
      <c r="Z150" s="5">
        <v>6.75</v>
      </c>
      <c r="AA150" s="5">
        <v>1.48</v>
      </c>
      <c r="AB150" s="5">
        <v>51.3</v>
      </c>
      <c r="AC150" s="5">
        <v>3.09</v>
      </c>
      <c r="AD150" s="5">
        <v>67.900000000000006</v>
      </c>
      <c r="AE150" s="5">
        <v>128.5</v>
      </c>
      <c r="AH150" s="5">
        <v>1.23</v>
      </c>
      <c r="AI150" s="5">
        <v>1409</v>
      </c>
      <c r="AJ150" s="5">
        <v>20.100000000000001</v>
      </c>
      <c r="AK150" s="5">
        <v>317</v>
      </c>
      <c r="AL150" s="5">
        <v>8.02</v>
      </c>
      <c r="AM150" s="5">
        <v>13963.69</v>
      </c>
      <c r="AN150" s="5">
        <v>3753.04</v>
      </c>
      <c r="AO150" s="5">
        <v>2.5121951219512195</v>
      </c>
      <c r="AP150" s="5">
        <v>15.77</v>
      </c>
      <c r="AQ150" s="5">
        <v>7.6</v>
      </c>
      <c r="AR150" s="5">
        <v>0.76</v>
      </c>
      <c r="AS150" s="5">
        <v>1.54</v>
      </c>
      <c r="AT150" s="5">
        <v>20</v>
      </c>
      <c r="AU150" s="5">
        <v>0.19</v>
      </c>
      <c r="AV150" s="5">
        <v>0.18</v>
      </c>
      <c r="AW150" s="5">
        <v>27.47</v>
      </c>
      <c r="AX150" s="5">
        <v>20.75</v>
      </c>
      <c r="AY150" s="5">
        <v>0.03</v>
      </c>
      <c r="BB150" s="5">
        <v>41.71</v>
      </c>
    </row>
    <row r="151" spans="1:54" x14ac:dyDescent="0.3">
      <c r="A151" s="1" t="s">
        <v>14</v>
      </c>
      <c r="B151" s="1" t="s">
        <v>15</v>
      </c>
      <c r="C151" s="1" t="s">
        <v>16</v>
      </c>
      <c r="D151" s="5">
        <v>48.736199999999997</v>
      </c>
      <c r="E151" s="5">
        <v>126.154</v>
      </c>
      <c r="F151" s="1" t="s">
        <v>17</v>
      </c>
      <c r="G151" s="5" t="s">
        <v>201</v>
      </c>
      <c r="H151" s="5" t="s">
        <v>196</v>
      </c>
      <c r="I151" s="6">
        <v>1.7601725994609299E-4</v>
      </c>
      <c r="J151" s="3" t="s">
        <v>445</v>
      </c>
      <c r="K151" s="5">
        <v>49.34</v>
      </c>
      <c r="L151" s="5">
        <v>0.12</v>
      </c>
      <c r="M151" s="5">
        <v>7.56</v>
      </c>
      <c r="N151" s="5">
        <v>7.37</v>
      </c>
      <c r="O151" s="5">
        <v>3.78</v>
      </c>
      <c r="P151" s="5">
        <v>4.12</v>
      </c>
      <c r="Q151" s="5">
        <v>13.7</v>
      </c>
      <c r="R151" s="5">
        <v>134</v>
      </c>
      <c r="W151" s="5">
        <v>77</v>
      </c>
      <c r="X151" s="5">
        <v>1412</v>
      </c>
      <c r="Y151" s="5">
        <v>10.9</v>
      </c>
      <c r="Z151" s="5">
        <v>7.53</v>
      </c>
      <c r="AA151" s="5">
        <v>1.21</v>
      </c>
      <c r="AB151" s="5">
        <v>54.3</v>
      </c>
      <c r="AC151" s="5">
        <v>3.11</v>
      </c>
      <c r="AD151" s="5">
        <v>86.9</v>
      </c>
      <c r="AE151" s="5">
        <v>161.5</v>
      </c>
      <c r="AH151" s="5">
        <v>1.39</v>
      </c>
      <c r="AI151" s="5">
        <v>1570</v>
      </c>
      <c r="AJ151" s="5">
        <v>24.1</v>
      </c>
      <c r="AK151" s="5">
        <v>318</v>
      </c>
      <c r="AL151" s="5">
        <v>7.78</v>
      </c>
      <c r="AM151" s="5">
        <v>14922.57</v>
      </c>
      <c r="AN151" s="5">
        <v>4625.84</v>
      </c>
      <c r="AO151" s="5">
        <v>2.2374100719424459</v>
      </c>
      <c r="AP151" s="5">
        <v>13.2</v>
      </c>
      <c r="AQ151" s="5">
        <v>7.21</v>
      </c>
      <c r="AR151" s="5">
        <v>0.62</v>
      </c>
      <c r="AS151" s="5">
        <v>1.42</v>
      </c>
      <c r="AT151" s="5">
        <v>20.11</v>
      </c>
      <c r="AU151" s="5">
        <v>0.2</v>
      </c>
      <c r="AV151" s="5">
        <v>0.16</v>
      </c>
      <c r="AW151" s="5">
        <v>28.91</v>
      </c>
      <c r="AX151" s="5">
        <v>18.07</v>
      </c>
      <c r="AY151" s="5">
        <v>0.02</v>
      </c>
      <c r="BB151" s="5">
        <v>39.06</v>
      </c>
    </row>
    <row r="152" spans="1:54" x14ac:dyDescent="0.3">
      <c r="A152" s="1" t="s">
        <v>14</v>
      </c>
      <c r="B152" s="1" t="s">
        <v>15</v>
      </c>
      <c r="C152" s="1" t="s">
        <v>16</v>
      </c>
      <c r="D152" s="5">
        <v>48.735999999999997</v>
      </c>
      <c r="E152" s="5">
        <v>126.1525</v>
      </c>
      <c r="F152" s="1" t="s">
        <v>17</v>
      </c>
      <c r="G152" s="5" t="s">
        <v>202</v>
      </c>
      <c r="H152" s="5" t="s">
        <v>198</v>
      </c>
      <c r="I152" s="6">
        <v>2.6873458409681922E-4</v>
      </c>
      <c r="J152" s="3" t="s">
        <v>445</v>
      </c>
      <c r="K152" s="5">
        <v>50.74</v>
      </c>
      <c r="L152" s="5">
        <v>0.11</v>
      </c>
      <c r="M152" s="5">
        <v>7.69</v>
      </c>
      <c r="N152" s="5">
        <v>7.55</v>
      </c>
      <c r="O152" s="5">
        <v>3.66</v>
      </c>
      <c r="P152" s="5">
        <v>4.2</v>
      </c>
      <c r="Q152" s="5">
        <v>15.4</v>
      </c>
      <c r="R152" s="5">
        <v>139</v>
      </c>
      <c r="W152" s="5">
        <v>82</v>
      </c>
      <c r="X152" s="5">
        <v>1253</v>
      </c>
      <c r="Y152" s="5">
        <v>11.4</v>
      </c>
      <c r="Z152" s="5">
        <v>7.23</v>
      </c>
      <c r="AA152" s="5">
        <v>1.36</v>
      </c>
      <c r="AB152" s="5">
        <v>54.5</v>
      </c>
      <c r="AC152" s="5">
        <v>3.25</v>
      </c>
      <c r="AD152" s="5">
        <v>74.5</v>
      </c>
      <c r="AE152" s="5">
        <v>142.9</v>
      </c>
      <c r="AH152" s="5">
        <v>1.32</v>
      </c>
      <c r="AI152" s="5">
        <v>1513</v>
      </c>
      <c r="AJ152" s="5">
        <v>21.9</v>
      </c>
      <c r="AK152" s="5">
        <v>333</v>
      </c>
      <c r="AL152" s="5">
        <v>8.15</v>
      </c>
      <c r="AM152" s="5">
        <v>13843.83</v>
      </c>
      <c r="AN152" s="5">
        <v>3796.68</v>
      </c>
      <c r="AO152" s="5">
        <v>2.4621212121212119</v>
      </c>
      <c r="AP152" s="5">
        <v>15.21</v>
      </c>
      <c r="AQ152" s="5">
        <v>7.54</v>
      </c>
      <c r="AR152" s="5">
        <v>0.73</v>
      </c>
      <c r="AS152" s="5">
        <v>1.5</v>
      </c>
      <c r="AT152" s="5">
        <v>20.34</v>
      </c>
      <c r="AU152" s="5">
        <v>0.21</v>
      </c>
      <c r="AV152" s="5">
        <v>0.19</v>
      </c>
      <c r="AW152" s="5">
        <v>27.76</v>
      </c>
      <c r="AX152" s="5">
        <v>20.309999999999999</v>
      </c>
      <c r="AY152" s="5">
        <v>0.02</v>
      </c>
      <c r="BB152" s="5">
        <v>41.29</v>
      </c>
    </row>
    <row r="153" spans="1:54" x14ac:dyDescent="0.3">
      <c r="A153" s="1" t="s">
        <v>14</v>
      </c>
      <c r="B153" s="1" t="s">
        <v>15</v>
      </c>
      <c r="C153" s="1" t="s">
        <v>16</v>
      </c>
      <c r="D153" s="5">
        <v>48.736499999999999</v>
      </c>
      <c r="E153" s="5">
        <v>126.1519</v>
      </c>
      <c r="F153" s="1" t="s">
        <v>17</v>
      </c>
      <c r="G153" s="5" t="s">
        <v>203</v>
      </c>
      <c r="H153" s="5" t="s">
        <v>198</v>
      </c>
      <c r="I153" s="6">
        <v>2.5038959574885672E-4</v>
      </c>
      <c r="J153" s="3" t="s">
        <v>445</v>
      </c>
      <c r="K153" s="5">
        <v>50.11</v>
      </c>
      <c r="L153" s="5">
        <v>0.14000000000000001</v>
      </c>
      <c r="M153" s="5">
        <v>7.87</v>
      </c>
      <c r="N153" s="5">
        <v>7.74</v>
      </c>
      <c r="O153" s="5">
        <v>3.94</v>
      </c>
      <c r="P153" s="5">
        <v>4.18</v>
      </c>
      <c r="Q153" s="5">
        <v>14.6</v>
      </c>
      <c r="R153" s="5">
        <v>138</v>
      </c>
      <c r="W153" s="5">
        <v>79</v>
      </c>
      <c r="X153" s="5">
        <v>1374</v>
      </c>
      <c r="Y153" s="5">
        <v>11.5</v>
      </c>
      <c r="Z153" s="5">
        <v>7.52</v>
      </c>
      <c r="AA153" s="5">
        <v>1.46</v>
      </c>
      <c r="AB153" s="5">
        <v>55</v>
      </c>
      <c r="AC153" s="5">
        <v>3.15</v>
      </c>
      <c r="AD153" s="5">
        <v>85.2</v>
      </c>
      <c r="AE153" s="5">
        <v>159.19999999999999</v>
      </c>
      <c r="AH153" s="5">
        <v>1.38</v>
      </c>
      <c r="AI153" s="5">
        <v>1560</v>
      </c>
      <c r="AJ153" s="5">
        <v>23.8</v>
      </c>
      <c r="AK153" s="5">
        <v>326</v>
      </c>
      <c r="AL153" s="5">
        <v>7.93</v>
      </c>
      <c r="AM153" s="5">
        <v>15581.8</v>
      </c>
      <c r="AN153" s="5">
        <v>4145.8</v>
      </c>
      <c r="AO153" s="5">
        <v>2.2826086956521738</v>
      </c>
      <c r="AP153" s="5">
        <v>13.7</v>
      </c>
      <c r="AQ153" s="5">
        <v>7.31</v>
      </c>
      <c r="AR153" s="5">
        <v>0.65</v>
      </c>
      <c r="AS153" s="5">
        <v>1.44</v>
      </c>
      <c r="AT153" s="5">
        <v>19.940000000000001</v>
      </c>
      <c r="AU153" s="5">
        <v>0.21</v>
      </c>
      <c r="AV153" s="5">
        <v>0.17</v>
      </c>
      <c r="AW153" s="5">
        <v>28.36</v>
      </c>
      <c r="AX153" s="5">
        <v>18.309999999999999</v>
      </c>
      <c r="AY153" s="5">
        <v>0.03</v>
      </c>
      <c r="BB153" s="5">
        <v>39.86</v>
      </c>
    </row>
    <row r="154" spans="1:54" x14ac:dyDescent="0.3">
      <c r="A154" s="1" t="s">
        <v>14</v>
      </c>
      <c r="B154" s="1" t="s">
        <v>15</v>
      </c>
      <c r="C154" s="1" t="s">
        <v>16</v>
      </c>
      <c r="D154" s="5">
        <v>48.737000000000002</v>
      </c>
      <c r="E154" s="5">
        <v>126.15170000000001</v>
      </c>
      <c r="F154" s="1" t="s">
        <v>17</v>
      </c>
      <c r="G154" s="5" t="s">
        <v>204</v>
      </c>
      <c r="H154" s="5" t="s">
        <v>196</v>
      </c>
      <c r="I154" s="6">
        <v>1.8229828856419769E-4</v>
      </c>
      <c r="J154" s="3" t="s">
        <v>445</v>
      </c>
      <c r="K154" s="5">
        <v>50.03</v>
      </c>
      <c r="L154" s="5">
        <v>0.13</v>
      </c>
      <c r="M154" s="5">
        <v>7.99</v>
      </c>
      <c r="N154" s="5">
        <v>7.63</v>
      </c>
      <c r="O154" s="5">
        <v>3.86</v>
      </c>
      <c r="P154" s="5">
        <v>4.25</v>
      </c>
      <c r="Q154" s="5">
        <v>18.5</v>
      </c>
      <c r="R154" s="5">
        <v>137</v>
      </c>
      <c r="W154" s="5">
        <v>79</v>
      </c>
      <c r="X154" s="5">
        <v>1400</v>
      </c>
      <c r="Y154" s="5">
        <v>10.5</v>
      </c>
      <c r="Z154" s="5">
        <v>7.72</v>
      </c>
      <c r="AA154" s="5">
        <v>1.56</v>
      </c>
      <c r="AB154" s="5">
        <v>54.5</v>
      </c>
      <c r="AC154" s="5">
        <v>3.16</v>
      </c>
      <c r="AD154" s="5">
        <v>86.5</v>
      </c>
      <c r="AE154" s="5">
        <v>164</v>
      </c>
      <c r="AH154" s="5">
        <v>1.41</v>
      </c>
      <c r="AI154" s="5">
        <v>1597</v>
      </c>
      <c r="AJ154" s="5">
        <v>23.9</v>
      </c>
      <c r="AK154" s="5">
        <v>337</v>
      </c>
      <c r="AL154" s="5">
        <v>8.17</v>
      </c>
      <c r="AM154" s="5">
        <v>13843.83</v>
      </c>
      <c r="AN154" s="5">
        <v>4276.72</v>
      </c>
      <c r="AO154" s="5">
        <v>2.2411347517730498</v>
      </c>
      <c r="AP154" s="5">
        <v>14.1</v>
      </c>
      <c r="AQ154" s="5">
        <v>7.06</v>
      </c>
      <c r="AR154" s="5">
        <v>0.63</v>
      </c>
      <c r="AS154" s="5">
        <v>1.45</v>
      </c>
      <c r="AT154" s="5">
        <v>19.89</v>
      </c>
      <c r="AU154" s="5">
        <v>0.19</v>
      </c>
      <c r="AV154" s="5">
        <v>0.15</v>
      </c>
      <c r="AW154" s="5">
        <v>29.3</v>
      </c>
      <c r="AX154" s="5">
        <v>18.46</v>
      </c>
      <c r="AY154" s="5">
        <v>0.03</v>
      </c>
      <c r="BB154" s="5">
        <v>38.65</v>
      </c>
    </row>
    <row r="155" spans="1:54" x14ac:dyDescent="0.3">
      <c r="A155" s="1" t="s">
        <v>14</v>
      </c>
      <c r="B155" s="1" t="s">
        <v>15</v>
      </c>
      <c r="C155" s="1" t="s">
        <v>16</v>
      </c>
      <c r="D155" s="5">
        <v>48.7376</v>
      </c>
      <c r="E155" s="5">
        <v>126.1515</v>
      </c>
      <c r="F155" s="1" t="s">
        <v>17</v>
      </c>
      <c r="G155" s="5" t="s">
        <v>205</v>
      </c>
      <c r="H155" s="5" t="s">
        <v>198</v>
      </c>
      <c r="I155" s="6">
        <v>1.9374336989130819E-4</v>
      </c>
      <c r="J155" s="3" t="s">
        <v>445</v>
      </c>
      <c r="K155" s="5">
        <v>49.57</v>
      </c>
      <c r="L155" s="5">
        <v>0.15</v>
      </c>
      <c r="M155" s="5">
        <v>7.83</v>
      </c>
      <c r="N155" s="5">
        <v>7.83</v>
      </c>
      <c r="O155" s="5">
        <v>4.75</v>
      </c>
      <c r="P155" s="5">
        <v>5.0999999999999996</v>
      </c>
      <c r="Q155" s="5">
        <v>15.2</v>
      </c>
      <c r="R155" s="5">
        <v>139</v>
      </c>
      <c r="W155" s="5">
        <v>80</v>
      </c>
      <c r="X155" s="5">
        <v>1414</v>
      </c>
      <c r="Y155" s="5">
        <v>10.9</v>
      </c>
      <c r="Z155" s="5">
        <v>7.63</v>
      </c>
      <c r="AA155" s="5">
        <v>1.46</v>
      </c>
      <c r="AB155" s="5">
        <v>55.6</v>
      </c>
      <c r="AC155" s="5">
        <v>3.17</v>
      </c>
      <c r="AD155" s="5">
        <v>87</v>
      </c>
      <c r="AE155" s="5">
        <v>162.80000000000001</v>
      </c>
      <c r="AH155" s="5">
        <v>1.37</v>
      </c>
      <c r="AI155" s="5">
        <v>1590</v>
      </c>
      <c r="AJ155" s="5">
        <v>24.3</v>
      </c>
      <c r="AK155" s="5">
        <v>329</v>
      </c>
      <c r="AL155" s="5">
        <v>8.0399999999999991</v>
      </c>
      <c r="AM155" s="5">
        <v>13424.32</v>
      </c>
      <c r="AN155" s="5">
        <v>4102.16</v>
      </c>
      <c r="AO155" s="5">
        <v>2.3138686131386859</v>
      </c>
      <c r="AP155" s="5">
        <v>13.54</v>
      </c>
      <c r="AQ155" s="5">
        <v>7.29</v>
      </c>
      <c r="AR155" s="5">
        <v>0.64</v>
      </c>
      <c r="AS155" s="5">
        <v>1.44</v>
      </c>
      <c r="AT155" s="5">
        <v>20.2</v>
      </c>
      <c r="AU155" s="5">
        <v>0.2</v>
      </c>
      <c r="AV155" s="5">
        <v>0.16</v>
      </c>
      <c r="AW155" s="5">
        <v>28.6</v>
      </c>
      <c r="AX155" s="5">
        <v>18.28</v>
      </c>
      <c r="AY155" s="5">
        <v>0.03</v>
      </c>
      <c r="BB155" s="5">
        <v>40.58</v>
      </c>
    </row>
    <row r="156" spans="1:54" x14ac:dyDescent="0.3">
      <c r="A156" s="1" t="s">
        <v>14</v>
      </c>
      <c r="B156" s="1" t="s">
        <v>15</v>
      </c>
      <c r="C156" s="1" t="s">
        <v>16</v>
      </c>
      <c r="D156" s="5">
        <v>48.736899999999999</v>
      </c>
      <c r="E156" s="5">
        <v>126.1525</v>
      </c>
      <c r="F156" s="1" t="s">
        <v>17</v>
      </c>
      <c r="G156" s="5" t="s">
        <v>206</v>
      </c>
      <c r="H156" s="5" t="s">
        <v>198</v>
      </c>
      <c r="I156" s="6">
        <v>3.3500278368592262E-4</v>
      </c>
      <c r="J156" s="3" t="s">
        <v>445</v>
      </c>
      <c r="K156" s="5">
        <v>50.46</v>
      </c>
      <c r="L156" s="5">
        <v>0.13</v>
      </c>
      <c r="M156" s="5">
        <v>8.02</v>
      </c>
      <c r="N156" s="5">
        <v>7.76</v>
      </c>
      <c r="O156" s="5">
        <v>3.9</v>
      </c>
      <c r="P156" s="5">
        <v>4.1100000000000003</v>
      </c>
      <c r="Q156" s="5">
        <v>20.100000000000001</v>
      </c>
      <c r="R156" s="5">
        <v>136</v>
      </c>
      <c r="W156" s="5">
        <v>79</v>
      </c>
      <c r="X156" s="5">
        <v>1480</v>
      </c>
      <c r="Y156" s="5">
        <v>11.7</v>
      </c>
      <c r="Z156" s="5">
        <v>7.19</v>
      </c>
      <c r="AA156" s="5">
        <v>1.51</v>
      </c>
      <c r="AB156" s="5">
        <v>56.8</v>
      </c>
      <c r="AC156" s="5">
        <v>3.15</v>
      </c>
      <c r="AD156" s="5">
        <v>88.2</v>
      </c>
      <c r="AE156" s="5">
        <v>164.4</v>
      </c>
      <c r="AH156" s="5">
        <v>1.41</v>
      </c>
      <c r="AI156" s="5">
        <v>1570</v>
      </c>
      <c r="AJ156" s="5">
        <v>25.9</v>
      </c>
      <c r="AK156" s="5">
        <v>335</v>
      </c>
      <c r="AL156" s="5">
        <v>8.32</v>
      </c>
      <c r="AM156" s="5">
        <v>13604.11</v>
      </c>
      <c r="AN156" s="5">
        <v>4233.08</v>
      </c>
      <c r="AO156" s="5">
        <v>2.2340425531914896</v>
      </c>
      <c r="AP156" s="5">
        <v>12.93</v>
      </c>
      <c r="AQ156" s="5">
        <v>7.9</v>
      </c>
      <c r="AR156" s="5">
        <v>0.64</v>
      </c>
      <c r="AS156" s="5">
        <v>1.39</v>
      </c>
      <c r="AT156" s="5">
        <v>20.58</v>
      </c>
      <c r="AU156" s="5">
        <v>0.21</v>
      </c>
      <c r="AV156" s="5">
        <v>0.16</v>
      </c>
      <c r="AW156" s="5">
        <v>27.64</v>
      </c>
      <c r="AX156" s="5">
        <v>17.8</v>
      </c>
      <c r="AY156" s="5">
        <v>0.03</v>
      </c>
      <c r="BB156" s="5">
        <v>40.28</v>
      </c>
    </row>
    <row r="157" spans="1:54" x14ac:dyDescent="0.3">
      <c r="A157" s="1" t="s">
        <v>14</v>
      </c>
      <c r="B157" s="1" t="s">
        <v>15</v>
      </c>
      <c r="C157" s="1" t="s">
        <v>16</v>
      </c>
      <c r="D157" s="5">
        <v>48.738599999999998</v>
      </c>
      <c r="E157" s="5">
        <v>126.1525</v>
      </c>
      <c r="F157" s="1" t="s">
        <v>17</v>
      </c>
      <c r="G157" s="5" t="s">
        <v>207</v>
      </c>
      <c r="H157" s="5" t="s">
        <v>198</v>
      </c>
      <c r="I157" s="6">
        <v>2.9226869810372591E-4</v>
      </c>
      <c r="J157" s="3" t="s">
        <v>445</v>
      </c>
      <c r="K157" s="5">
        <v>49.34</v>
      </c>
      <c r="L157" s="5">
        <v>0.13</v>
      </c>
      <c r="M157" s="5">
        <v>7.92</v>
      </c>
      <c r="N157" s="5">
        <v>8.02</v>
      </c>
      <c r="O157" s="5">
        <v>3.88</v>
      </c>
      <c r="P157" s="5">
        <v>4.2699999999999996</v>
      </c>
      <c r="Q157" s="5">
        <v>18.3</v>
      </c>
      <c r="R157" s="5">
        <v>142</v>
      </c>
      <c r="W157" s="5">
        <v>108</v>
      </c>
      <c r="X157" s="5">
        <v>1457</v>
      </c>
      <c r="Y157" s="5">
        <v>1.8</v>
      </c>
      <c r="Z157" s="5">
        <v>7.85</v>
      </c>
      <c r="AA157" s="5">
        <v>1.62</v>
      </c>
      <c r="AB157" s="5">
        <v>56.6</v>
      </c>
      <c r="AC157" s="5">
        <v>3.22</v>
      </c>
      <c r="AD157" s="5">
        <v>89.5</v>
      </c>
      <c r="AE157" s="5">
        <v>168.4</v>
      </c>
      <c r="AH157" s="5">
        <v>1.44</v>
      </c>
      <c r="AI157" s="5">
        <v>1598</v>
      </c>
      <c r="AJ157" s="5">
        <v>24.9</v>
      </c>
      <c r="AK157" s="5">
        <v>342</v>
      </c>
      <c r="AL157" s="5">
        <v>8.23</v>
      </c>
      <c r="AM157" s="5">
        <v>13484.25</v>
      </c>
      <c r="AN157" s="5">
        <v>4189.4399999999996</v>
      </c>
      <c r="AO157" s="5">
        <v>2.2361111111111112</v>
      </c>
      <c r="AP157" s="5">
        <v>13.73</v>
      </c>
      <c r="AQ157" s="5">
        <v>7.21</v>
      </c>
      <c r="AR157" s="5">
        <v>0.63</v>
      </c>
      <c r="AS157" s="5">
        <v>1.91</v>
      </c>
      <c r="AT157" s="5">
        <v>20.149999999999999</v>
      </c>
      <c r="AU157" s="5">
        <v>0.03</v>
      </c>
      <c r="AV157" s="5">
        <v>0.02</v>
      </c>
      <c r="AW157" s="5">
        <v>28.23</v>
      </c>
      <c r="AX157" s="5">
        <v>17.850000000000001</v>
      </c>
      <c r="AY157" s="5">
        <v>0.03</v>
      </c>
      <c r="BB157" s="5">
        <v>39.31</v>
      </c>
    </row>
    <row r="158" spans="1:54" x14ac:dyDescent="0.3">
      <c r="A158" s="1" t="s">
        <v>14</v>
      </c>
      <c r="B158" s="1" t="s">
        <v>15</v>
      </c>
      <c r="C158" s="1" t="s">
        <v>16</v>
      </c>
      <c r="D158" s="5">
        <v>48.7395</v>
      </c>
      <c r="E158" s="5">
        <v>126.1528</v>
      </c>
      <c r="F158" s="1" t="s">
        <v>17</v>
      </c>
      <c r="G158" s="5" t="s">
        <v>208</v>
      </c>
      <c r="H158" s="5" t="s">
        <v>198</v>
      </c>
      <c r="I158" s="6">
        <v>1.5164833166636529E-4</v>
      </c>
      <c r="J158" s="3" t="s">
        <v>445</v>
      </c>
      <c r="K158" s="5">
        <v>50.02</v>
      </c>
      <c r="L158" s="5">
        <v>0.13</v>
      </c>
      <c r="M158" s="5">
        <v>7.96</v>
      </c>
      <c r="N158" s="5">
        <v>7.74</v>
      </c>
      <c r="O158" s="5">
        <v>3.9</v>
      </c>
      <c r="P158" s="5">
        <v>4.4400000000000004</v>
      </c>
      <c r="Q158" s="5">
        <v>23</v>
      </c>
      <c r="R158" s="5">
        <v>0</v>
      </c>
      <c r="W158" s="5">
        <v>85</v>
      </c>
      <c r="X158" s="5">
        <v>1512</v>
      </c>
      <c r="Y158" s="5">
        <v>13.5</v>
      </c>
      <c r="Z158" s="5">
        <v>7.44</v>
      </c>
      <c r="AA158" s="5">
        <v>1.54</v>
      </c>
      <c r="AB158" s="5">
        <v>57.7</v>
      </c>
      <c r="AC158" s="5">
        <v>3.2</v>
      </c>
      <c r="AD158" s="5">
        <v>88.8</v>
      </c>
      <c r="AE158" s="5">
        <v>166.9</v>
      </c>
      <c r="AH158" s="5">
        <v>1.5</v>
      </c>
      <c r="AI158" s="5">
        <v>1637</v>
      </c>
      <c r="AJ158" s="5">
        <v>25.9</v>
      </c>
      <c r="AK158" s="5">
        <v>409</v>
      </c>
      <c r="AL158" s="5">
        <v>10.199999999999999</v>
      </c>
      <c r="AM158" s="5">
        <v>13723.97</v>
      </c>
      <c r="AN158" s="5">
        <v>4276.72</v>
      </c>
      <c r="AO158" s="5">
        <v>2.1333333333333333</v>
      </c>
      <c r="AP158" s="5">
        <v>15.79</v>
      </c>
      <c r="AQ158" s="5">
        <v>7.76</v>
      </c>
      <c r="AR158" s="5">
        <v>0.65</v>
      </c>
      <c r="AS158" s="5">
        <v>1.47</v>
      </c>
      <c r="AT158" s="5">
        <v>20.8</v>
      </c>
      <c r="AU158" s="5">
        <v>0.23</v>
      </c>
      <c r="AV158" s="5">
        <v>0.19</v>
      </c>
      <c r="AW158" s="5">
        <v>28.37</v>
      </c>
      <c r="AX158" s="5">
        <v>18.43</v>
      </c>
      <c r="AY158" s="5">
        <v>0.03</v>
      </c>
      <c r="BB158" s="5">
        <v>38.47</v>
      </c>
    </row>
    <row r="159" spans="1:54" x14ac:dyDescent="0.3">
      <c r="A159" s="1" t="s">
        <v>14</v>
      </c>
      <c r="B159" s="1" t="s">
        <v>15</v>
      </c>
      <c r="C159" s="1" t="s">
        <v>16</v>
      </c>
      <c r="D159" s="5">
        <v>48.741500000000002</v>
      </c>
      <c r="E159" s="5">
        <v>126.15260000000001</v>
      </c>
      <c r="F159" s="1" t="s">
        <v>17</v>
      </c>
      <c r="G159" s="5" t="s">
        <v>209</v>
      </c>
      <c r="H159" s="5" t="s">
        <v>196</v>
      </c>
      <c r="I159" s="6">
        <v>3.4619236248545349E-4</v>
      </c>
      <c r="J159" s="3" t="s">
        <v>445</v>
      </c>
      <c r="K159" s="5">
        <v>50.95</v>
      </c>
      <c r="L159" s="5">
        <v>0.12</v>
      </c>
      <c r="M159" s="5">
        <v>7.24</v>
      </c>
      <c r="N159" s="5">
        <v>7.43</v>
      </c>
      <c r="O159" s="5">
        <v>3.75</v>
      </c>
      <c r="P159" s="5">
        <v>4.1900000000000004</v>
      </c>
      <c r="Q159" s="5">
        <v>19.5</v>
      </c>
      <c r="R159" s="5">
        <v>0</v>
      </c>
      <c r="W159" s="5">
        <v>86</v>
      </c>
      <c r="X159" s="5">
        <v>1273</v>
      </c>
      <c r="Y159" s="5">
        <v>10.6</v>
      </c>
      <c r="Z159" s="5">
        <v>6.65</v>
      </c>
      <c r="AA159" s="5">
        <v>1.42</v>
      </c>
      <c r="AB159" s="5">
        <v>55.3</v>
      </c>
      <c r="AC159" s="5">
        <v>3.28</v>
      </c>
      <c r="AD159" s="5">
        <v>72.400000000000006</v>
      </c>
      <c r="AE159" s="5">
        <v>136.9</v>
      </c>
      <c r="AH159" s="5">
        <v>1.3</v>
      </c>
      <c r="AI159" s="5">
        <v>1514</v>
      </c>
      <c r="AJ159" s="5">
        <v>22.5</v>
      </c>
      <c r="AK159" s="5">
        <v>341</v>
      </c>
      <c r="AL159" s="5">
        <v>8.6</v>
      </c>
      <c r="AM159" s="5">
        <v>13604.11</v>
      </c>
      <c r="AN159" s="5">
        <v>3709.4</v>
      </c>
      <c r="AO159" s="5">
        <v>2.523076923076923</v>
      </c>
      <c r="AP159" s="5">
        <v>15.16</v>
      </c>
      <c r="AQ159" s="5">
        <v>8.32</v>
      </c>
      <c r="AR159" s="5">
        <v>0.76</v>
      </c>
      <c r="AS159" s="5">
        <v>1.56</v>
      </c>
      <c r="AT159" s="5">
        <v>21.25</v>
      </c>
      <c r="AU159" s="5">
        <v>0.19</v>
      </c>
      <c r="AV159" s="5">
        <v>0.18</v>
      </c>
      <c r="AW159" s="5">
        <v>27.38</v>
      </c>
      <c r="AX159" s="5">
        <v>20.91</v>
      </c>
      <c r="AY159" s="5">
        <v>0.03</v>
      </c>
      <c r="BB159" s="5">
        <v>42.54</v>
      </c>
    </row>
    <row r="160" spans="1:54" x14ac:dyDescent="0.3">
      <c r="A160" s="1" t="s">
        <v>14</v>
      </c>
      <c r="B160" s="1" t="s">
        <v>15</v>
      </c>
      <c r="C160" s="1" t="s">
        <v>16</v>
      </c>
      <c r="D160" s="5">
        <v>48.740099999999998</v>
      </c>
      <c r="E160" s="5">
        <v>126.1525</v>
      </c>
      <c r="F160" s="1" t="s">
        <v>17</v>
      </c>
      <c r="G160" s="5" t="s">
        <v>210</v>
      </c>
      <c r="H160" s="5" t="s">
        <v>196</v>
      </c>
      <c r="I160" s="6">
        <v>4.3205716065131128E-4</v>
      </c>
      <c r="J160" s="3" t="s">
        <v>445</v>
      </c>
      <c r="K160" s="5">
        <v>50.93</v>
      </c>
      <c r="L160" s="5">
        <v>0.13</v>
      </c>
      <c r="M160" s="5">
        <v>8.06</v>
      </c>
      <c r="N160" s="5">
        <v>7.87</v>
      </c>
      <c r="O160" s="5">
        <v>3.89</v>
      </c>
      <c r="P160" s="5">
        <v>4.28</v>
      </c>
      <c r="Q160" s="5">
        <v>17.100000000000001</v>
      </c>
      <c r="R160" s="5">
        <v>0</v>
      </c>
      <c r="W160" s="5">
        <v>78</v>
      </c>
      <c r="X160" s="5">
        <v>1396</v>
      </c>
      <c r="Y160" s="5">
        <v>11.3</v>
      </c>
      <c r="Z160" s="5">
        <v>7.72</v>
      </c>
      <c r="AA160" s="5">
        <v>1.66</v>
      </c>
      <c r="AB160" s="5">
        <v>54.9</v>
      </c>
      <c r="AC160" s="5">
        <v>3.18</v>
      </c>
      <c r="AD160" s="5">
        <v>86.3</v>
      </c>
      <c r="AE160" s="5">
        <v>162.5</v>
      </c>
      <c r="AH160" s="5">
        <v>1.39</v>
      </c>
      <c r="AI160" s="5">
        <v>1574</v>
      </c>
      <c r="AJ160" s="5">
        <v>24</v>
      </c>
      <c r="AK160" s="5">
        <v>332</v>
      </c>
      <c r="AL160" s="5">
        <v>8.19</v>
      </c>
      <c r="AM160" s="5">
        <v>12525.37</v>
      </c>
      <c r="AN160" s="5">
        <v>3883.96</v>
      </c>
      <c r="AO160" s="5">
        <v>2.2877697841726623</v>
      </c>
      <c r="AP160" s="5">
        <v>13.83</v>
      </c>
      <c r="AQ160" s="5">
        <v>7.11</v>
      </c>
      <c r="AR160" s="5">
        <v>0.64</v>
      </c>
      <c r="AS160" s="5">
        <v>1.42</v>
      </c>
      <c r="AT160" s="5">
        <v>19.75</v>
      </c>
      <c r="AU160" s="5">
        <v>0.21</v>
      </c>
      <c r="AV160" s="5">
        <v>0.16</v>
      </c>
      <c r="AW160" s="5">
        <v>28.67</v>
      </c>
      <c r="AX160" s="5">
        <v>18.239999999999998</v>
      </c>
      <c r="AY160" s="5">
        <v>0.03</v>
      </c>
      <c r="BB160" s="5">
        <v>39.5</v>
      </c>
    </row>
    <row r="161" spans="1:54" x14ac:dyDescent="0.3">
      <c r="A161" s="1" t="s">
        <v>14</v>
      </c>
      <c r="B161" s="1" t="s">
        <v>15</v>
      </c>
      <c r="C161" s="1" t="s">
        <v>16</v>
      </c>
      <c r="D161" s="5">
        <v>48.742600000000003</v>
      </c>
      <c r="E161" s="5">
        <v>126.1537</v>
      </c>
      <c r="F161" s="1" t="s">
        <v>17</v>
      </c>
      <c r="G161" s="5" t="s">
        <v>211</v>
      </c>
      <c r="H161" s="5" t="s">
        <v>198</v>
      </c>
      <c r="I161" s="6">
        <v>5.4919905960559845E-4</v>
      </c>
      <c r="J161" s="3" t="s">
        <v>445</v>
      </c>
      <c r="K161" s="5">
        <v>50.7</v>
      </c>
      <c r="L161" s="5">
        <v>0.12</v>
      </c>
      <c r="M161" s="5">
        <v>6.85</v>
      </c>
      <c r="N161" s="5">
        <v>7.32</v>
      </c>
      <c r="O161" s="5">
        <v>3.92</v>
      </c>
      <c r="P161" s="5">
        <v>4.63</v>
      </c>
      <c r="Q161" s="5">
        <v>17</v>
      </c>
      <c r="R161" s="5">
        <v>0</v>
      </c>
      <c r="W161" s="5">
        <v>92</v>
      </c>
      <c r="X161" s="5">
        <v>1356</v>
      </c>
      <c r="Y161" s="5">
        <v>11.5</v>
      </c>
      <c r="Z161" s="5">
        <v>7.28</v>
      </c>
      <c r="AA161" s="5">
        <v>1.52</v>
      </c>
      <c r="AB161" s="5">
        <v>63.8</v>
      </c>
      <c r="AC161" s="5">
        <v>3.54</v>
      </c>
      <c r="AD161" s="5">
        <v>78.2</v>
      </c>
      <c r="AE161" s="5">
        <v>147</v>
      </c>
      <c r="AH161" s="5">
        <v>1.29</v>
      </c>
      <c r="AI161" s="5">
        <v>1620</v>
      </c>
      <c r="AJ161" s="5">
        <v>22.9</v>
      </c>
      <c r="AK161" s="5">
        <v>350</v>
      </c>
      <c r="AL161" s="5">
        <v>8.9</v>
      </c>
      <c r="AM161" s="5">
        <v>14503.06</v>
      </c>
      <c r="AN161" s="5">
        <v>3971.24</v>
      </c>
      <c r="AO161" s="5">
        <v>2.7441860465116279</v>
      </c>
      <c r="AP161" s="5">
        <v>15.28</v>
      </c>
      <c r="AQ161" s="5">
        <v>8.76</v>
      </c>
      <c r="AR161" s="5">
        <v>0.82</v>
      </c>
      <c r="AS161" s="5">
        <v>1.44</v>
      </c>
      <c r="AT161" s="5">
        <v>20.93</v>
      </c>
      <c r="AU161" s="5">
        <v>0.18</v>
      </c>
      <c r="AV161" s="5">
        <v>0.18</v>
      </c>
      <c r="AW161" s="5">
        <v>25.39</v>
      </c>
      <c r="AX161" s="5">
        <v>20.72</v>
      </c>
      <c r="AY161" s="5">
        <v>0.02</v>
      </c>
      <c r="BB161" s="5">
        <v>49.46</v>
      </c>
    </row>
    <row r="162" spans="1:54" x14ac:dyDescent="0.3">
      <c r="A162" s="1" t="s">
        <v>14</v>
      </c>
      <c r="B162" s="1" t="s">
        <v>15</v>
      </c>
      <c r="C162" s="1" t="s">
        <v>16</v>
      </c>
      <c r="D162" s="5">
        <v>48.741999999999997</v>
      </c>
      <c r="E162" s="5">
        <v>126.1563</v>
      </c>
      <c r="F162" s="1" t="s">
        <v>17</v>
      </c>
      <c r="G162" s="5" t="s">
        <v>212</v>
      </c>
      <c r="H162" s="5" t="s">
        <v>196</v>
      </c>
      <c r="I162" s="6">
        <v>1.9442438497208059E-4</v>
      </c>
      <c r="J162" s="3" t="s">
        <v>445</v>
      </c>
      <c r="K162" s="5">
        <v>51.7</v>
      </c>
      <c r="L162" s="5">
        <v>0.12</v>
      </c>
      <c r="M162" s="5">
        <v>6.78</v>
      </c>
      <c r="N162" s="5">
        <v>7.26</v>
      </c>
      <c r="O162" s="5">
        <v>3.73</v>
      </c>
      <c r="P162" s="5">
        <v>4.46</v>
      </c>
      <c r="Q162" s="5">
        <v>17.8</v>
      </c>
      <c r="R162" s="5">
        <v>0</v>
      </c>
      <c r="W162" s="5">
        <v>90</v>
      </c>
      <c r="X162" s="5">
        <v>1179</v>
      </c>
      <c r="Y162" s="5">
        <v>11.2</v>
      </c>
      <c r="Z162" s="5">
        <v>6.95</v>
      </c>
      <c r="AA162" s="5">
        <v>1.47</v>
      </c>
      <c r="AB162" s="5">
        <v>54.9</v>
      </c>
      <c r="AC162" s="5">
        <v>3.3</v>
      </c>
      <c r="AD162" s="5">
        <v>68.599999999999994</v>
      </c>
      <c r="AE162" s="5">
        <v>130.80000000000001</v>
      </c>
      <c r="AH162" s="5">
        <v>1.24</v>
      </c>
      <c r="AI162" s="5">
        <v>1534</v>
      </c>
      <c r="AJ162" s="5">
        <v>20.5</v>
      </c>
      <c r="AK162" s="5">
        <v>349</v>
      </c>
      <c r="AL162" s="5">
        <v>8.65</v>
      </c>
      <c r="AM162" s="5">
        <v>14203.41</v>
      </c>
      <c r="AN162" s="5">
        <v>3665.76</v>
      </c>
      <c r="AO162" s="5">
        <v>2.661290322580645</v>
      </c>
      <c r="AP162" s="5">
        <v>17.02</v>
      </c>
      <c r="AQ162" s="5">
        <v>7.9</v>
      </c>
      <c r="AR162" s="5">
        <v>0.8</v>
      </c>
      <c r="AS162" s="5">
        <v>1.64</v>
      </c>
      <c r="AT162" s="5">
        <v>20.76</v>
      </c>
      <c r="AU162" s="5">
        <v>0.2</v>
      </c>
      <c r="AV162" s="5">
        <v>0.2</v>
      </c>
      <c r="AW162" s="5">
        <v>27.94</v>
      </c>
      <c r="AX162" s="5">
        <v>22.36</v>
      </c>
      <c r="AY162" s="5">
        <v>0.03</v>
      </c>
      <c r="BB162" s="5">
        <v>44.27</v>
      </c>
    </row>
    <row r="163" spans="1:54" x14ac:dyDescent="0.3">
      <c r="A163" s="1" t="s">
        <v>14</v>
      </c>
      <c r="B163" s="1" t="s">
        <v>15</v>
      </c>
      <c r="C163" s="1" t="s">
        <v>16</v>
      </c>
      <c r="D163" s="5">
        <v>48.741500000000002</v>
      </c>
      <c r="E163" s="5">
        <v>126.1567</v>
      </c>
      <c r="F163" s="1" t="s">
        <v>17</v>
      </c>
      <c r="G163" s="5" t="s">
        <v>213</v>
      </c>
      <c r="H163" s="5" t="s">
        <v>196</v>
      </c>
      <c r="I163" s="6">
        <v>2.057965466519818E-4</v>
      </c>
      <c r="J163" s="3" t="s">
        <v>445</v>
      </c>
      <c r="K163" s="5">
        <v>51.2</v>
      </c>
      <c r="L163" s="5">
        <v>0.12</v>
      </c>
      <c r="M163" s="5">
        <v>7.2</v>
      </c>
      <c r="N163" s="5">
        <v>7.32</v>
      </c>
      <c r="O163" s="5">
        <v>3.84</v>
      </c>
      <c r="P163" s="5">
        <v>4.3499999999999996</v>
      </c>
      <c r="Q163" s="5">
        <v>13</v>
      </c>
      <c r="R163" s="5">
        <v>0</v>
      </c>
      <c r="W163" s="5">
        <v>78</v>
      </c>
      <c r="X163" s="5">
        <v>1173</v>
      </c>
      <c r="Y163" s="5">
        <v>10.4</v>
      </c>
      <c r="Z163" s="5">
        <v>5.93</v>
      </c>
      <c r="AA163" s="5">
        <v>1.26</v>
      </c>
      <c r="AB163" s="5">
        <v>52.1</v>
      </c>
      <c r="AC163" s="5">
        <v>3.03</v>
      </c>
      <c r="AD163" s="5">
        <v>66.7</v>
      </c>
      <c r="AE163" s="5">
        <v>126.7</v>
      </c>
      <c r="AH163" s="5">
        <v>1.22</v>
      </c>
      <c r="AI163" s="5">
        <v>1390</v>
      </c>
      <c r="AJ163" s="5">
        <v>20.8</v>
      </c>
      <c r="AK163" s="5">
        <v>305</v>
      </c>
      <c r="AL163" s="5">
        <v>7.71</v>
      </c>
      <c r="AM163" s="5">
        <v>13783.9</v>
      </c>
      <c r="AN163" s="5">
        <v>3665.76</v>
      </c>
      <c r="AO163" s="5">
        <v>2.4836065573770489</v>
      </c>
      <c r="AP163" s="5">
        <v>14.66</v>
      </c>
      <c r="AQ163" s="5">
        <v>8.7899999999999991</v>
      </c>
      <c r="AR163" s="5">
        <v>0.78</v>
      </c>
      <c r="AS163" s="5">
        <v>1.5</v>
      </c>
      <c r="AT163" s="5">
        <v>21.02</v>
      </c>
      <c r="AU163" s="5">
        <v>0.2</v>
      </c>
      <c r="AV163" s="5">
        <v>0.19</v>
      </c>
      <c r="AW163" s="5">
        <v>26.68</v>
      </c>
      <c r="AX163" s="5">
        <v>20.84</v>
      </c>
      <c r="AY163" s="5">
        <v>0.02</v>
      </c>
      <c r="BB163" s="5">
        <v>42.7</v>
      </c>
    </row>
    <row r="164" spans="1:54" x14ac:dyDescent="0.3">
      <c r="A164" s="1" t="s">
        <v>14</v>
      </c>
      <c r="B164" s="1" t="s">
        <v>15</v>
      </c>
      <c r="C164" s="1" t="s">
        <v>16</v>
      </c>
      <c r="D164" s="5">
        <v>48.736899999999999</v>
      </c>
      <c r="E164" s="5">
        <v>126.1619</v>
      </c>
      <c r="F164" s="1" t="s">
        <v>17</v>
      </c>
      <c r="G164" s="5" t="s">
        <v>214</v>
      </c>
      <c r="H164" s="5" t="s">
        <v>198</v>
      </c>
      <c r="I164" s="6">
        <v>3.879211435560137E-4</v>
      </c>
      <c r="J164" s="3" t="s">
        <v>445</v>
      </c>
      <c r="K164" s="5">
        <v>49.15</v>
      </c>
      <c r="L164" s="5">
        <v>0.13</v>
      </c>
      <c r="M164" s="5">
        <v>8.15</v>
      </c>
      <c r="N164" s="5">
        <v>7.89</v>
      </c>
      <c r="O164" s="5">
        <v>4.08</v>
      </c>
      <c r="P164" s="5">
        <v>4.43</v>
      </c>
      <c r="Q164" s="5">
        <v>15.3</v>
      </c>
      <c r="R164" s="5">
        <v>0</v>
      </c>
      <c r="W164" s="5">
        <v>97</v>
      </c>
      <c r="X164" s="5">
        <v>1723</v>
      </c>
      <c r="Y164" s="5">
        <v>15.5</v>
      </c>
      <c r="Z164" s="5">
        <v>10.119999999999999</v>
      </c>
      <c r="AA164" s="5">
        <v>2.14</v>
      </c>
      <c r="AB164" s="5">
        <v>72.8</v>
      </c>
      <c r="AC164" s="5">
        <v>3.99</v>
      </c>
      <c r="AD164" s="5">
        <v>106.7</v>
      </c>
      <c r="AE164" s="5">
        <v>203.4</v>
      </c>
      <c r="AH164" s="5">
        <v>1.59</v>
      </c>
      <c r="AI164" s="5">
        <v>1889</v>
      </c>
      <c r="AJ164" s="5">
        <v>28</v>
      </c>
      <c r="AK164" s="5">
        <v>430</v>
      </c>
      <c r="AL164" s="5">
        <v>10.26</v>
      </c>
      <c r="AM164" s="5">
        <v>14083.55</v>
      </c>
      <c r="AN164" s="5">
        <v>4800.3999999999996</v>
      </c>
      <c r="AO164" s="5">
        <v>2.5094339622641511</v>
      </c>
      <c r="AP164" s="5">
        <v>15.36</v>
      </c>
      <c r="AQ164" s="5">
        <v>7.19</v>
      </c>
      <c r="AR164" s="5">
        <v>0.68</v>
      </c>
      <c r="AS164" s="5">
        <v>1.33</v>
      </c>
      <c r="AT164" s="5">
        <v>20.71</v>
      </c>
      <c r="AU164" s="5">
        <v>0.21</v>
      </c>
      <c r="AV164" s="5">
        <v>0.19</v>
      </c>
      <c r="AW164" s="5">
        <v>25.95</v>
      </c>
      <c r="AX164" s="5">
        <v>17.7</v>
      </c>
      <c r="AY164" s="5">
        <v>0.03</v>
      </c>
      <c r="BB164" s="5">
        <v>45.79</v>
      </c>
    </row>
    <row r="165" spans="1:54" x14ac:dyDescent="0.3">
      <c r="A165" s="1" t="s">
        <v>14</v>
      </c>
      <c r="B165" s="1" t="s">
        <v>15</v>
      </c>
      <c r="C165" s="1" t="s">
        <v>16</v>
      </c>
      <c r="D165" s="5">
        <v>48.72</v>
      </c>
      <c r="E165" s="5">
        <v>126.12</v>
      </c>
      <c r="F165" s="1" t="s">
        <v>17</v>
      </c>
      <c r="G165" s="5" t="s">
        <v>215</v>
      </c>
      <c r="H165" s="5" t="s">
        <v>216</v>
      </c>
      <c r="I165" s="6">
        <v>1.5056396659929311E-4</v>
      </c>
      <c r="J165" s="3" t="s">
        <v>445</v>
      </c>
      <c r="K165" s="5">
        <v>51.8</v>
      </c>
      <c r="L165" s="5">
        <v>5.0999999999999996</v>
      </c>
      <c r="M165" s="5">
        <v>8.4</v>
      </c>
      <c r="N165" s="5">
        <v>0.1</v>
      </c>
      <c r="O165" s="5">
        <v>6.9</v>
      </c>
      <c r="P165" s="5">
        <v>6.8</v>
      </c>
      <c r="Q165" s="5">
        <v>13</v>
      </c>
      <c r="R165" s="5">
        <v>119</v>
      </c>
      <c r="W165" s="5">
        <v>113.2</v>
      </c>
      <c r="X165" s="5">
        <v>1480</v>
      </c>
      <c r="Y165" s="5">
        <v>14.2</v>
      </c>
      <c r="Z165" s="5">
        <v>6.45</v>
      </c>
      <c r="AA165" s="5">
        <v>1.38</v>
      </c>
      <c r="AB165" s="5">
        <v>79.05</v>
      </c>
      <c r="AC165" s="5">
        <v>3.67</v>
      </c>
      <c r="AD165" s="5">
        <v>81.099999999999994</v>
      </c>
      <c r="AE165" s="5">
        <v>152.80000000000001</v>
      </c>
      <c r="AH165" s="5">
        <v>1.22</v>
      </c>
      <c r="AI165" s="5">
        <v>1637</v>
      </c>
      <c r="AJ165" s="5">
        <v>21.9</v>
      </c>
      <c r="AK165" s="5">
        <v>524</v>
      </c>
      <c r="AL165" s="5">
        <v>11.42</v>
      </c>
      <c r="AM165" s="5">
        <v>23372.7</v>
      </c>
      <c r="AN165" s="5">
        <v>4800.3999999999996</v>
      </c>
      <c r="AO165" s="5">
        <v>3.0081967213114753</v>
      </c>
      <c r="AP165" s="5">
        <v>23.93</v>
      </c>
      <c r="AQ165" s="5">
        <v>12.26</v>
      </c>
      <c r="AR165" s="5">
        <v>0.97</v>
      </c>
      <c r="AS165" s="5">
        <v>1.43</v>
      </c>
      <c r="AT165" s="5">
        <v>21.57</v>
      </c>
      <c r="AU165" s="5">
        <v>0.18</v>
      </c>
      <c r="AV165" s="5">
        <v>0.21</v>
      </c>
      <c r="AW165" s="5">
        <v>20.71</v>
      </c>
      <c r="AX165" s="5">
        <v>20.18</v>
      </c>
      <c r="AY165" s="5">
        <v>0.02</v>
      </c>
      <c r="BB165" s="5">
        <v>64.8</v>
      </c>
    </row>
    <row r="166" spans="1:54" x14ac:dyDescent="0.3">
      <c r="A166" s="1" t="s">
        <v>14</v>
      </c>
      <c r="B166" s="1" t="s">
        <v>15</v>
      </c>
      <c r="C166" s="1" t="s">
        <v>16</v>
      </c>
      <c r="D166" s="5">
        <v>48.650300000000001</v>
      </c>
      <c r="E166" s="5">
        <v>126.01560000000001</v>
      </c>
      <c r="F166" s="1" t="s">
        <v>17</v>
      </c>
      <c r="G166" s="5" t="s">
        <v>217</v>
      </c>
      <c r="H166" s="5" t="s">
        <v>218</v>
      </c>
      <c r="I166" s="6">
        <v>4.6241949894465511E-4</v>
      </c>
      <c r="J166" s="3" t="s">
        <v>445</v>
      </c>
      <c r="K166" s="5">
        <v>49.71</v>
      </c>
      <c r="L166" s="5">
        <v>0.12</v>
      </c>
      <c r="M166" s="5">
        <v>9.4700000000000006</v>
      </c>
      <c r="N166" s="5">
        <v>6.89</v>
      </c>
      <c r="O166" s="5">
        <v>3.85</v>
      </c>
      <c r="P166" s="5">
        <v>4.5</v>
      </c>
      <c r="Q166" s="5">
        <v>12.1</v>
      </c>
      <c r="R166" s="5">
        <v>0</v>
      </c>
      <c r="W166" s="5">
        <v>104</v>
      </c>
      <c r="X166" s="5">
        <v>1438</v>
      </c>
      <c r="Y166" s="5">
        <v>16.5</v>
      </c>
      <c r="Z166" s="5">
        <v>7.47</v>
      </c>
      <c r="AA166" s="5">
        <v>1.65</v>
      </c>
      <c r="AB166" s="5">
        <v>68</v>
      </c>
      <c r="AC166" s="5">
        <v>3.58</v>
      </c>
      <c r="AD166" s="5">
        <v>85.7</v>
      </c>
      <c r="AE166" s="5">
        <v>162</v>
      </c>
      <c r="AH166" s="5">
        <v>1.31</v>
      </c>
      <c r="AI166" s="5">
        <v>1586</v>
      </c>
      <c r="AJ166" s="5">
        <v>22.1</v>
      </c>
      <c r="AK166" s="5">
        <v>530</v>
      </c>
      <c r="AL166" s="5">
        <v>11.7</v>
      </c>
      <c r="AM166" s="5">
        <v>14323.27</v>
      </c>
      <c r="AN166" s="5">
        <v>4713.12</v>
      </c>
      <c r="AO166" s="5">
        <v>2.7328244274809159</v>
      </c>
      <c r="AP166" s="5">
        <v>23.98</v>
      </c>
      <c r="AQ166" s="5">
        <v>9.1</v>
      </c>
      <c r="AR166" s="5">
        <v>0.79</v>
      </c>
      <c r="AS166" s="5">
        <v>1.53</v>
      </c>
      <c r="AT166" s="5">
        <v>21.01</v>
      </c>
      <c r="AU166" s="5">
        <v>0.24</v>
      </c>
      <c r="AV166" s="5">
        <v>0.24</v>
      </c>
      <c r="AW166" s="5">
        <v>23.32</v>
      </c>
      <c r="AX166" s="5">
        <v>18.510000000000002</v>
      </c>
      <c r="AY166" s="5">
        <v>0.02</v>
      </c>
      <c r="BB166" s="5">
        <v>51.91</v>
      </c>
    </row>
    <row r="167" spans="1:54" x14ac:dyDescent="0.3">
      <c r="A167" s="1" t="s">
        <v>14</v>
      </c>
      <c r="B167" s="1" t="s">
        <v>15</v>
      </c>
      <c r="C167" s="1" t="s">
        <v>16</v>
      </c>
      <c r="D167" s="5">
        <v>48.6554</v>
      </c>
      <c r="E167" s="5">
        <v>126.14960000000001</v>
      </c>
      <c r="F167" s="1" t="s">
        <v>17</v>
      </c>
      <c r="G167" s="5" t="s">
        <v>219</v>
      </c>
      <c r="H167" s="5" t="s">
        <v>218</v>
      </c>
      <c r="I167" s="6">
        <v>2.019360399572179E-4</v>
      </c>
      <c r="J167" s="3" t="s">
        <v>445</v>
      </c>
      <c r="K167" s="5">
        <v>49.67</v>
      </c>
      <c r="L167" s="5">
        <v>0.13</v>
      </c>
      <c r="M167" s="5">
        <v>7.4</v>
      </c>
      <c r="N167" s="5">
        <v>7.16</v>
      </c>
      <c r="O167" s="5">
        <v>4.17</v>
      </c>
      <c r="P167" s="5">
        <v>4.83</v>
      </c>
      <c r="Q167" s="5">
        <v>12.2</v>
      </c>
      <c r="R167" s="5">
        <v>0</v>
      </c>
      <c r="W167" s="5">
        <v>106</v>
      </c>
      <c r="X167" s="5">
        <v>1449</v>
      </c>
      <c r="Y167" s="5">
        <v>16.2</v>
      </c>
      <c r="Z167" s="5">
        <v>7.37</v>
      </c>
      <c r="AA167" s="5">
        <v>1.59</v>
      </c>
      <c r="AB167" s="5">
        <v>68.099999999999994</v>
      </c>
      <c r="AC167" s="5">
        <v>3.74</v>
      </c>
      <c r="AD167" s="5">
        <v>85.8</v>
      </c>
      <c r="AE167" s="5">
        <v>163</v>
      </c>
      <c r="AH167" s="5">
        <v>1.32</v>
      </c>
      <c r="AI167" s="5">
        <v>1607</v>
      </c>
      <c r="AJ167" s="5">
        <v>22.1</v>
      </c>
      <c r="AK167" s="5">
        <v>529</v>
      </c>
      <c r="AL167" s="5">
        <v>11.6</v>
      </c>
      <c r="AM167" s="5">
        <v>14083.55</v>
      </c>
      <c r="AN167" s="5">
        <v>4494.92</v>
      </c>
      <c r="AO167" s="5">
        <v>2.8333333333333335</v>
      </c>
      <c r="AP167" s="5">
        <v>23.94</v>
      </c>
      <c r="AQ167" s="5">
        <v>9.24</v>
      </c>
      <c r="AR167" s="5">
        <v>0.79</v>
      </c>
      <c r="AS167" s="5">
        <v>1.56</v>
      </c>
      <c r="AT167" s="5">
        <v>21.06</v>
      </c>
      <c r="AU167" s="5">
        <v>0.24</v>
      </c>
      <c r="AV167" s="5">
        <v>0.24</v>
      </c>
      <c r="AW167" s="5">
        <v>23.6</v>
      </c>
      <c r="AX167" s="5">
        <v>18.73</v>
      </c>
      <c r="AY167" s="5">
        <v>0.02</v>
      </c>
      <c r="BB167" s="5">
        <v>51.59</v>
      </c>
    </row>
    <row r="168" spans="1:54" x14ac:dyDescent="0.3">
      <c r="A168" s="1" t="s">
        <v>14</v>
      </c>
      <c r="B168" s="1" t="s">
        <v>15</v>
      </c>
      <c r="C168" s="1" t="s">
        <v>16</v>
      </c>
      <c r="D168" s="5">
        <v>48.6554</v>
      </c>
      <c r="E168" s="5">
        <v>126.14960000000001</v>
      </c>
      <c r="F168" s="1" t="s">
        <v>17</v>
      </c>
      <c r="G168" s="5" t="s">
        <v>220</v>
      </c>
      <c r="H168" s="5" t="s">
        <v>218</v>
      </c>
      <c r="I168" s="6">
        <v>2.1812555496580899E-4</v>
      </c>
      <c r="J168" s="3" t="s">
        <v>445</v>
      </c>
      <c r="K168" s="5">
        <v>49.21</v>
      </c>
      <c r="L168" s="5">
        <v>0.13</v>
      </c>
      <c r="M168" s="5">
        <v>7.69</v>
      </c>
      <c r="N168" s="5">
        <v>7.29</v>
      </c>
      <c r="O168" s="5">
        <v>4.2300000000000004</v>
      </c>
      <c r="P168" s="5">
        <v>4.7300000000000004</v>
      </c>
      <c r="Q168" s="5">
        <v>11.7</v>
      </c>
      <c r="R168" s="5">
        <v>0</v>
      </c>
      <c r="W168" s="5">
        <v>105</v>
      </c>
      <c r="X168" s="5">
        <v>1448</v>
      </c>
      <c r="Y168" s="5">
        <v>16.600000000000001</v>
      </c>
      <c r="Z168" s="5">
        <v>7.31</v>
      </c>
      <c r="AA168" s="5">
        <v>1.6</v>
      </c>
      <c r="AB168" s="5">
        <v>68</v>
      </c>
      <c r="AC168" s="5">
        <v>3.83</v>
      </c>
      <c r="AD168" s="5">
        <v>86.4</v>
      </c>
      <c r="AE168" s="5">
        <v>162</v>
      </c>
      <c r="AH168" s="5">
        <v>1.33</v>
      </c>
      <c r="AI168" s="5">
        <v>1613</v>
      </c>
      <c r="AJ168" s="5">
        <v>22</v>
      </c>
      <c r="AK168" s="5">
        <v>529</v>
      </c>
      <c r="AL168" s="5">
        <v>11.7</v>
      </c>
      <c r="AM168" s="5">
        <v>14023.62</v>
      </c>
      <c r="AN168" s="5">
        <v>4451.28</v>
      </c>
      <c r="AO168" s="5">
        <v>2.8796992481203008</v>
      </c>
      <c r="AP168" s="5">
        <v>24.05</v>
      </c>
      <c r="AQ168" s="5">
        <v>9.3000000000000007</v>
      </c>
      <c r="AR168" s="5">
        <v>0.79</v>
      </c>
      <c r="AS168" s="5">
        <v>1.54</v>
      </c>
      <c r="AT168" s="5">
        <v>21.03</v>
      </c>
      <c r="AU168" s="5">
        <v>0.24</v>
      </c>
      <c r="AV168" s="5">
        <v>0.24</v>
      </c>
      <c r="AW168" s="5">
        <v>23.72</v>
      </c>
      <c r="AX168" s="5">
        <v>18.670000000000002</v>
      </c>
      <c r="AY168" s="5">
        <v>0.02</v>
      </c>
      <c r="BB168" s="5">
        <v>51.13</v>
      </c>
    </row>
    <row r="169" spans="1:54" x14ac:dyDescent="0.3">
      <c r="A169" s="1" t="s">
        <v>14</v>
      </c>
      <c r="B169" s="1" t="s">
        <v>15</v>
      </c>
      <c r="C169" s="1" t="s">
        <v>16</v>
      </c>
      <c r="D169" s="5">
        <v>48.707599999999999</v>
      </c>
      <c r="E169" s="5">
        <v>126.1185</v>
      </c>
      <c r="F169" s="1" t="s">
        <v>17</v>
      </c>
      <c r="G169" s="5" t="s">
        <v>221</v>
      </c>
      <c r="H169" s="5" t="s">
        <v>218</v>
      </c>
      <c r="I169" s="6">
        <v>2.3597243125550449E-4</v>
      </c>
      <c r="J169" s="3" t="s">
        <v>445</v>
      </c>
      <c r="K169" s="5">
        <v>51.63</v>
      </c>
      <c r="L169" s="5">
        <v>0.12</v>
      </c>
      <c r="M169" s="5">
        <v>7.45</v>
      </c>
      <c r="N169" s="5">
        <v>6.02</v>
      </c>
      <c r="O169" s="5">
        <v>3.95</v>
      </c>
      <c r="P169" s="5">
        <v>4.95</v>
      </c>
      <c r="Q169" s="5">
        <v>12.2</v>
      </c>
      <c r="R169" s="5">
        <v>0</v>
      </c>
      <c r="W169" s="5">
        <v>106</v>
      </c>
      <c r="X169" s="5">
        <v>1441</v>
      </c>
      <c r="Y169" s="5">
        <v>16.100000000000001</v>
      </c>
      <c r="Z169" s="5">
        <v>6.97</v>
      </c>
      <c r="AA169" s="5">
        <v>1.55</v>
      </c>
      <c r="AB169" s="5">
        <v>67.3</v>
      </c>
      <c r="AC169" s="5">
        <v>3.88</v>
      </c>
      <c r="AD169" s="5">
        <v>85.9</v>
      </c>
      <c r="AE169" s="5">
        <v>163</v>
      </c>
      <c r="AH169" s="5">
        <v>1.29</v>
      </c>
      <c r="AI169" s="5">
        <v>1702</v>
      </c>
      <c r="AJ169" s="5">
        <v>22.1</v>
      </c>
      <c r="AK169" s="5">
        <v>521</v>
      </c>
      <c r="AL169" s="5">
        <v>11.6</v>
      </c>
      <c r="AM169" s="5">
        <v>13783.9</v>
      </c>
      <c r="AN169" s="5">
        <v>4014.88</v>
      </c>
      <c r="AO169" s="5">
        <v>3.0077519379844961</v>
      </c>
      <c r="AP169" s="5">
        <v>23.57</v>
      </c>
      <c r="AQ169" s="5">
        <v>9.66</v>
      </c>
      <c r="AR169" s="5">
        <v>0.78</v>
      </c>
      <c r="AS169" s="5">
        <v>1.58</v>
      </c>
      <c r="AT169" s="5">
        <v>21.04</v>
      </c>
      <c r="AU169" s="5">
        <v>0.24</v>
      </c>
      <c r="AV169" s="5">
        <v>0.24</v>
      </c>
      <c r="AW169" s="5">
        <v>25.29</v>
      </c>
      <c r="AX169" s="5">
        <v>19.809999999999999</v>
      </c>
      <c r="AY169" s="5">
        <v>0.02</v>
      </c>
      <c r="BB169" s="5">
        <v>52.17</v>
      </c>
    </row>
    <row r="170" spans="1:54" x14ac:dyDescent="0.3">
      <c r="A170" s="1" t="s">
        <v>14</v>
      </c>
      <c r="B170" s="1" t="s">
        <v>15</v>
      </c>
      <c r="C170" s="1" t="s">
        <v>16</v>
      </c>
      <c r="D170" s="5">
        <v>48.707599999999999</v>
      </c>
      <c r="E170" s="5">
        <v>126.1185</v>
      </c>
      <c r="F170" s="1" t="s">
        <v>17</v>
      </c>
      <c r="G170" s="5" t="s">
        <v>222</v>
      </c>
      <c r="H170" s="5" t="s">
        <v>218</v>
      </c>
      <c r="I170" s="6">
        <v>1.5478639397770169E-4</v>
      </c>
      <c r="J170" s="3" t="s">
        <v>445</v>
      </c>
      <c r="K170" s="5">
        <v>51.73</v>
      </c>
      <c r="L170" s="5">
        <v>0.12</v>
      </c>
      <c r="M170" s="5">
        <v>7.46</v>
      </c>
      <c r="N170" s="5">
        <v>6.03</v>
      </c>
      <c r="O170" s="5">
        <v>3.96</v>
      </c>
      <c r="P170" s="5">
        <v>4.95</v>
      </c>
      <c r="Q170" s="5">
        <v>12.1</v>
      </c>
      <c r="R170" s="5">
        <v>0</v>
      </c>
      <c r="W170" s="5">
        <v>106</v>
      </c>
      <c r="X170" s="5">
        <v>1438</v>
      </c>
      <c r="Y170" s="5">
        <v>15.8</v>
      </c>
      <c r="Z170" s="5">
        <v>6.82</v>
      </c>
      <c r="AA170" s="5">
        <v>1.5</v>
      </c>
      <c r="AB170" s="5">
        <v>66</v>
      </c>
      <c r="AC170" s="5">
        <v>3.99</v>
      </c>
      <c r="AD170" s="5">
        <v>84.5</v>
      </c>
      <c r="AE170" s="5">
        <v>161</v>
      </c>
      <c r="AH170" s="5">
        <v>1.29</v>
      </c>
      <c r="AI170" s="5">
        <v>1675</v>
      </c>
      <c r="AJ170" s="5">
        <v>21.7</v>
      </c>
      <c r="AK170" s="5">
        <v>511</v>
      </c>
      <c r="AL170" s="5">
        <v>11.3</v>
      </c>
      <c r="AM170" s="5">
        <v>13723.97</v>
      </c>
      <c r="AN170" s="5">
        <v>4014.88</v>
      </c>
      <c r="AO170" s="5">
        <v>3.0930232558139537</v>
      </c>
      <c r="AP170" s="5">
        <v>23.55</v>
      </c>
      <c r="AQ170" s="5">
        <v>9.68</v>
      </c>
      <c r="AR170" s="5">
        <v>0.78</v>
      </c>
      <c r="AS170" s="5">
        <v>1.61</v>
      </c>
      <c r="AT170" s="5">
        <v>21.08</v>
      </c>
      <c r="AU170" s="5">
        <v>0.24</v>
      </c>
      <c r="AV170" s="5">
        <v>0.23</v>
      </c>
      <c r="AW170" s="5">
        <v>25.38</v>
      </c>
      <c r="AX170" s="5">
        <v>19.82</v>
      </c>
      <c r="AY170" s="5">
        <v>0.02</v>
      </c>
      <c r="BB170" s="5">
        <v>51.16</v>
      </c>
    </row>
    <row r="171" spans="1:54" x14ac:dyDescent="0.3">
      <c r="A171" s="1" t="s">
        <v>14</v>
      </c>
      <c r="B171" s="1" t="s">
        <v>15</v>
      </c>
      <c r="C171" s="1" t="s">
        <v>16</v>
      </c>
      <c r="D171" s="5">
        <v>48.707599999999999</v>
      </c>
      <c r="E171" s="5">
        <v>126.1185</v>
      </c>
      <c r="F171" s="1" t="s">
        <v>17</v>
      </c>
      <c r="G171" s="5" t="s">
        <v>223</v>
      </c>
      <c r="H171" s="5" t="s">
        <v>218</v>
      </c>
      <c r="I171" s="6">
        <v>1.445816888008267E-4</v>
      </c>
      <c r="J171" s="3" t="s">
        <v>445</v>
      </c>
      <c r="K171" s="5">
        <v>51.87</v>
      </c>
      <c r="L171" s="5">
        <v>0.11</v>
      </c>
      <c r="M171" s="5">
        <v>6.21</v>
      </c>
      <c r="N171" s="5">
        <v>5.66</v>
      </c>
      <c r="O171" s="5">
        <v>3.52</v>
      </c>
      <c r="P171" s="5">
        <v>5.87</v>
      </c>
      <c r="Q171" s="5">
        <v>13.8</v>
      </c>
      <c r="R171" s="5">
        <v>0</v>
      </c>
      <c r="W171" s="5">
        <v>112</v>
      </c>
      <c r="X171" s="5">
        <v>1448</v>
      </c>
      <c r="Y171" s="5">
        <v>16.2</v>
      </c>
      <c r="Z171" s="5">
        <v>6.1</v>
      </c>
      <c r="AA171" s="5">
        <v>1.34</v>
      </c>
      <c r="AB171" s="5">
        <v>68.900000000000006</v>
      </c>
      <c r="AC171" s="5">
        <v>3.81</v>
      </c>
      <c r="AD171" s="5">
        <v>84</v>
      </c>
      <c r="AE171" s="5">
        <v>160</v>
      </c>
      <c r="AH171" s="5">
        <v>1.3</v>
      </c>
      <c r="AI171" s="5">
        <v>1893</v>
      </c>
      <c r="AJ171" s="5">
        <v>22.2</v>
      </c>
      <c r="AK171" s="5">
        <v>518</v>
      </c>
      <c r="AL171" s="5">
        <v>11.4</v>
      </c>
      <c r="AM171" s="5">
        <v>16600.61</v>
      </c>
      <c r="AN171" s="5">
        <v>4669.4799999999996</v>
      </c>
      <c r="AO171" s="5">
        <v>2.9307692307692306</v>
      </c>
      <c r="AP171" s="5">
        <v>23.33</v>
      </c>
      <c r="AQ171" s="5">
        <v>11.3</v>
      </c>
      <c r="AR171" s="5">
        <v>0.82</v>
      </c>
      <c r="AS171" s="5">
        <v>1.63</v>
      </c>
      <c r="AT171" s="5">
        <v>21.28</v>
      </c>
      <c r="AU171" s="5">
        <v>0.24</v>
      </c>
      <c r="AV171" s="5">
        <v>0.24</v>
      </c>
      <c r="AW171" s="5">
        <v>27.47</v>
      </c>
      <c r="AX171" s="5">
        <v>22.54</v>
      </c>
      <c r="AY171" s="5">
        <v>0.02</v>
      </c>
      <c r="BB171" s="5">
        <v>53</v>
      </c>
    </row>
    <row r="172" spans="1:54" x14ac:dyDescent="0.3">
      <c r="A172" s="1" t="s">
        <v>14</v>
      </c>
      <c r="B172" s="1" t="s">
        <v>15</v>
      </c>
      <c r="C172" s="1" t="s">
        <v>16</v>
      </c>
      <c r="D172" s="5">
        <v>48.744399999999999</v>
      </c>
      <c r="E172" s="5">
        <v>126.18429999999999</v>
      </c>
      <c r="F172" s="1" t="s">
        <v>17</v>
      </c>
      <c r="G172" s="5" t="s">
        <v>224</v>
      </c>
      <c r="H172" s="5" t="s">
        <v>218</v>
      </c>
      <c r="I172" s="6">
        <v>3.4256669459864503E-4</v>
      </c>
      <c r="J172" s="3" t="s">
        <v>445</v>
      </c>
      <c r="K172" s="5">
        <v>49.02</v>
      </c>
      <c r="L172" s="5">
        <v>0.14000000000000001</v>
      </c>
      <c r="M172" s="5">
        <v>8.1</v>
      </c>
      <c r="N172" s="5">
        <v>7.44</v>
      </c>
      <c r="O172" s="5">
        <v>4.21</v>
      </c>
      <c r="P172" s="5">
        <v>4.58</v>
      </c>
      <c r="Q172" s="5">
        <v>12.9</v>
      </c>
      <c r="R172" s="5">
        <v>0</v>
      </c>
      <c r="W172" s="5">
        <v>94.8</v>
      </c>
      <c r="X172" s="5">
        <v>1330</v>
      </c>
      <c r="Y172" s="5">
        <v>13.5</v>
      </c>
      <c r="Z172" s="5">
        <v>7.37</v>
      </c>
      <c r="AA172" s="5">
        <v>1.59</v>
      </c>
      <c r="AB172" s="5">
        <v>64.3</v>
      </c>
      <c r="AC172" s="5">
        <v>3.95</v>
      </c>
      <c r="AD172" s="5">
        <v>75.5</v>
      </c>
      <c r="AE172" s="5">
        <v>143</v>
      </c>
      <c r="AH172" s="5">
        <v>1.24</v>
      </c>
      <c r="AI172" s="5">
        <v>1591</v>
      </c>
      <c r="AJ172" s="5">
        <v>21.1</v>
      </c>
      <c r="AK172" s="5">
        <v>415</v>
      </c>
      <c r="AL172" s="5">
        <v>9.1999999999999993</v>
      </c>
      <c r="AM172" s="5">
        <v>13544.18</v>
      </c>
      <c r="AN172" s="5">
        <v>4974.96</v>
      </c>
      <c r="AO172" s="5">
        <v>3.185483870967742</v>
      </c>
      <c r="AP172" s="5">
        <v>19.670000000000002</v>
      </c>
      <c r="AQ172" s="5">
        <v>8.7200000000000006</v>
      </c>
      <c r="AR172" s="5">
        <v>0.85</v>
      </c>
      <c r="AS172" s="5">
        <v>1.47</v>
      </c>
      <c r="AT172" s="5">
        <v>21.57</v>
      </c>
      <c r="AU172" s="5">
        <v>0.21</v>
      </c>
      <c r="AV172" s="5">
        <v>0.22</v>
      </c>
      <c r="AW172" s="5">
        <v>24.74</v>
      </c>
      <c r="AX172" s="5">
        <v>21.07</v>
      </c>
      <c r="AY172" s="5">
        <v>0.02</v>
      </c>
      <c r="BB172" s="5">
        <v>51.85</v>
      </c>
    </row>
    <row r="173" spans="1:54" x14ac:dyDescent="0.3">
      <c r="A173" s="1" t="s">
        <v>14</v>
      </c>
      <c r="B173" s="1" t="s">
        <v>15</v>
      </c>
      <c r="C173" s="1" t="s">
        <v>16</v>
      </c>
      <c r="D173" s="5">
        <v>49.367199999999997</v>
      </c>
      <c r="E173" s="5">
        <v>123.15860000000001</v>
      </c>
      <c r="F173" s="1" t="s">
        <v>17</v>
      </c>
      <c r="G173" s="5" t="s">
        <v>225</v>
      </c>
      <c r="H173" s="5" t="s">
        <v>226</v>
      </c>
      <c r="I173" s="6">
        <v>1.084995092242025E-4</v>
      </c>
      <c r="J173" s="3" t="s">
        <v>445</v>
      </c>
      <c r="K173" s="5">
        <v>49.57</v>
      </c>
      <c r="L173" s="5">
        <v>0.12</v>
      </c>
      <c r="M173" s="5">
        <v>9.31</v>
      </c>
      <c r="N173" s="5">
        <v>8.34</v>
      </c>
      <c r="O173" s="5">
        <v>3.45</v>
      </c>
      <c r="P173" s="5">
        <v>3.01</v>
      </c>
      <c r="Q173" s="5">
        <v>17.600000000000001</v>
      </c>
      <c r="R173" s="5">
        <v>0</v>
      </c>
      <c r="W173" s="5">
        <v>61</v>
      </c>
      <c r="X173" s="5">
        <v>1138</v>
      </c>
      <c r="Y173" s="5">
        <v>6.8</v>
      </c>
      <c r="Z173" s="5">
        <v>5.59</v>
      </c>
      <c r="AA173" s="5">
        <v>1.22</v>
      </c>
      <c r="AB173" s="5">
        <v>54.1</v>
      </c>
      <c r="AC173" s="5">
        <v>3.36</v>
      </c>
      <c r="AD173" s="5">
        <v>46.6</v>
      </c>
      <c r="AE173" s="5">
        <v>92.5</v>
      </c>
      <c r="AH173" s="5">
        <v>1.26</v>
      </c>
      <c r="AI173" s="5">
        <v>1235</v>
      </c>
      <c r="AJ173" s="5">
        <v>20.8</v>
      </c>
      <c r="AK173" s="5">
        <v>218</v>
      </c>
      <c r="AL173" s="5">
        <v>5.14</v>
      </c>
      <c r="AM173" s="5">
        <v>13304.46</v>
      </c>
      <c r="AN173" s="5">
        <v>2880.24</v>
      </c>
      <c r="AO173" s="5">
        <v>2.6666666666666665</v>
      </c>
      <c r="AP173" s="5">
        <v>10.48</v>
      </c>
      <c r="AQ173" s="5">
        <v>9.68</v>
      </c>
      <c r="AR173" s="5">
        <v>1.1599999999999999</v>
      </c>
      <c r="AS173" s="5">
        <v>1.1299999999999999</v>
      </c>
      <c r="AT173" s="5">
        <v>25.92</v>
      </c>
      <c r="AU173" s="5">
        <v>0.13</v>
      </c>
      <c r="AV173" s="5">
        <v>0.15</v>
      </c>
      <c r="AW173" s="5">
        <v>22.83</v>
      </c>
      <c r="AX173" s="5">
        <v>26.5</v>
      </c>
      <c r="AY173" s="5">
        <v>0.02</v>
      </c>
      <c r="BB173" s="5">
        <v>42.94</v>
      </c>
    </row>
    <row r="174" spans="1:54" x14ac:dyDescent="0.3">
      <c r="A174" s="1" t="s">
        <v>14</v>
      </c>
      <c r="B174" s="1" t="s">
        <v>15</v>
      </c>
      <c r="C174" s="1" t="s">
        <v>16</v>
      </c>
      <c r="D174" s="5">
        <v>49.367199999999997</v>
      </c>
      <c r="E174" s="5">
        <v>123.15860000000001</v>
      </c>
      <c r="F174" s="1" t="s">
        <v>17</v>
      </c>
      <c r="G174" s="5" t="s">
        <v>227</v>
      </c>
      <c r="H174" s="5" t="s">
        <v>228</v>
      </c>
      <c r="I174" s="6">
        <v>7.1474067226517946E-5</v>
      </c>
      <c r="J174" s="3" t="s">
        <v>445</v>
      </c>
      <c r="K174" s="5">
        <v>47.46</v>
      </c>
      <c r="L174" s="5">
        <v>0.14000000000000001</v>
      </c>
      <c r="M174" s="5">
        <v>9.5500000000000007</v>
      </c>
      <c r="N174" s="5">
        <v>8.83</v>
      </c>
      <c r="O174" s="5">
        <v>4.09</v>
      </c>
      <c r="P174" s="5">
        <v>3.65</v>
      </c>
      <c r="Q174" s="5">
        <v>21.8</v>
      </c>
      <c r="R174" s="5">
        <v>0</v>
      </c>
      <c r="W174" s="5">
        <v>92</v>
      </c>
      <c r="X174" s="5">
        <v>1401</v>
      </c>
      <c r="Y174" s="5">
        <v>7.9</v>
      </c>
      <c r="Z174" s="5">
        <v>7.01</v>
      </c>
      <c r="AA174" s="5">
        <v>1.63</v>
      </c>
      <c r="AB174" s="5">
        <v>70.2</v>
      </c>
      <c r="AC174" s="5">
        <v>4.91</v>
      </c>
      <c r="AD174" s="5">
        <v>65.2</v>
      </c>
      <c r="AE174" s="5">
        <v>128.4</v>
      </c>
      <c r="AH174" s="5">
        <v>1.37</v>
      </c>
      <c r="AI174" s="5">
        <v>1600</v>
      </c>
      <c r="AJ174" s="5">
        <v>29.1</v>
      </c>
      <c r="AK174" s="5">
        <v>281</v>
      </c>
      <c r="AL174" s="5">
        <v>5.88</v>
      </c>
      <c r="AM174" s="5">
        <v>13424.32</v>
      </c>
      <c r="AN174" s="5">
        <v>3491.2</v>
      </c>
      <c r="AO174" s="5">
        <v>3.5839416058394158</v>
      </c>
      <c r="AP174" s="5">
        <v>9.66</v>
      </c>
      <c r="AQ174" s="5">
        <v>10.01</v>
      </c>
      <c r="AR174" s="5">
        <v>1.08</v>
      </c>
      <c r="AS174" s="5">
        <v>1.31</v>
      </c>
      <c r="AT174" s="5">
        <v>26.33</v>
      </c>
      <c r="AU174" s="5">
        <v>0.11</v>
      </c>
      <c r="AV174" s="5">
        <v>0.15</v>
      </c>
      <c r="AW174" s="5">
        <v>22.79</v>
      </c>
      <c r="AX174" s="5">
        <v>24.54</v>
      </c>
      <c r="AY174" s="5">
        <v>0.02</v>
      </c>
      <c r="BB174" s="5">
        <v>51.24</v>
      </c>
    </row>
    <row r="175" spans="1:54" x14ac:dyDescent="0.3">
      <c r="A175" s="1" t="s">
        <v>14</v>
      </c>
      <c r="B175" s="1" t="s">
        <v>15</v>
      </c>
      <c r="C175" s="1" t="s">
        <v>16</v>
      </c>
      <c r="D175" s="5">
        <v>49.367199999999997</v>
      </c>
      <c r="E175" s="5">
        <v>123.15860000000001</v>
      </c>
      <c r="F175" s="1" t="s">
        <v>17</v>
      </c>
      <c r="G175" s="5" t="s">
        <v>229</v>
      </c>
      <c r="H175" s="5" t="s">
        <v>226</v>
      </c>
      <c r="I175" s="6">
        <v>1.938329805852845E-4</v>
      </c>
      <c r="J175" s="3" t="s">
        <v>445</v>
      </c>
      <c r="K175" s="5">
        <v>49.09</v>
      </c>
      <c r="L175" s="5">
        <v>0.13</v>
      </c>
      <c r="M175" s="5">
        <v>8.4600000000000009</v>
      </c>
      <c r="N175" s="5">
        <v>8.8699999999999992</v>
      </c>
      <c r="O175" s="5">
        <v>4.17</v>
      </c>
      <c r="P175" s="5">
        <v>3.21</v>
      </c>
      <c r="Q175" s="5">
        <v>18.7</v>
      </c>
      <c r="R175" s="5">
        <v>0</v>
      </c>
      <c r="W175" s="5">
        <v>76</v>
      </c>
      <c r="X175" s="5">
        <v>1211</v>
      </c>
      <c r="Y175" s="5">
        <v>6.4</v>
      </c>
      <c r="Z175" s="5">
        <v>5.8</v>
      </c>
      <c r="AA175" s="5">
        <v>1.26</v>
      </c>
      <c r="AB175" s="5">
        <v>59.7</v>
      </c>
      <c r="AC175" s="5">
        <v>3.87</v>
      </c>
      <c r="AD175" s="5">
        <v>53.7</v>
      </c>
      <c r="AE175" s="5">
        <v>109.2</v>
      </c>
      <c r="AH175" s="5">
        <v>1.41</v>
      </c>
      <c r="AI175" s="5">
        <v>1349</v>
      </c>
      <c r="AJ175" s="5">
        <v>25</v>
      </c>
      <c r="AK175" s="5">
        <v>242</v>
      </c>
      <c r="AL175" s="5">
        <v>5.5</v>
      </c>
      <c r="AM175" s="5">
        <v>13364.39</v>
      </c>
      <c r="AN175" s="5">
        <v>3229.36</v>
      </c>
      <c r="AO175" s="5">
        <v>2.7446808510638299</v>
      </c>
      <c r="AP175" s="5">
        <v>9.68</v>
      </c>
      <c r="AQ175" s="5">
        <v>10.29</v>
      </c>
      <c r="AR175" s="5">
        <v>1.1100000000000001</v>
      </c>
      <c r="AS175" s="5">
        <v>1.27</v>
      </c>
      <c r="AT175" s="5">
        <v>25.88</v>
      </c>
      <c r="AU175" s="5">
        <v>0.11</v>
      </c>
      <c r="AV175" s="5">
        <v>0.14000000000000001</v>
      </c>
      <c r="AW175" s="5">
        <v>22.6</v>
      </c>
      <c r="AX175" s="5">
        <v>25.12</v>
      </c>
      <c r="AY175" s="5">
        <v>0.02</v>
      </c>
      <c r="BB175" s="5">
        <v>42.34</v>
      </c>
    </row>
    <row r="176" spans="1:54" x14ac:dyDescent="0.3">
      <c r="A176" s="1" t="s">
        <v>14</v>
      </c>
      <c r="B176" s="1" t="s">
        <v>15</v>
      </c>
      <c r="C176" s="1" t="s">
        <v>16</v>
      </c>
      <c r="D176" s="5">
        <v>49.367199999999997</v>
      </c>
      <c r="E176" s="5">
        <v>123.15860000000001</v>
      </c>
      <c r="F176" s="1" t="s">
        <v>17</v>
      </c>
      <c r="G176" s="5" t="s">
        <v>230</v>
      </c>
      <c r="H176" s="5" t="s">
        <v>226</v>
      </c>
      <c r="I176" s="6">
        <v>3.0306325061246747E-4</v>
      </c>
      <c r="J176" s="3" t="s">
        <v>445</v>
      </c>
      <c r="K176" s="5">
        <v>49.09</v>
      </c>
      <c r="L176" s="5">
        <v>0.13</v>
      </c>
      <c r="M176" s="5">
        <v>8.66</v>
      </c>
      <c r="N176" s="5">
        <v>8.59</v>
      </c>
      <c r="O176" s="5">
        <v>4.17</v>
      </c>
      <c r="P176" s="5">
        <v>3.23</v>
      </c>
      <c r="Q176" s="5">
        <v>15</v>
      </c>
      <c r="R176" s="5">
        <v>0</v>
      </c>
      <c r="W176" s="5">
        <v>63</v>
      </c>
      <c r="X176" s="5">
        <v>1065</v>
      </c>
      <c r="Y176" s="5">
        <v>6</v>
      </c>
      <c r="Z176" s="5">
        <v>5.7</v>
      </c>
      <c r="AA176" s="5">
        <v>1.38</v>
      </c>
      <c r="AB176" s="5">
        <v>56.9</v>
      </c>
      <c r="AC176" s="5">
        <v>3.46</v>
      </c>
      <c r="AD176" s="5">
        <v>46.3</v>
      </c>
      <c r="AE176" s="5">
        <v>92.5</v>
      </c>
      <c r="AH176" s="5">
        <v>1.0900000000000001</v>
      </c>
      <c r="AI176" s="5">
        <v>1176</v>
      </c>
      <c r="AJ176" s="5">
        <v>18.7</v>
      </c>
      <c r="AK176" s="5">
        <v>217</v>
      </c>
      <c r="AL176" s="5">
        <v>5.0599999999999996</v>
      </c>
      <c r="AM176" s="5">
        <v>13184.6</v>
      </c>
      <c r="AN176" s="5">
        <v>3185.72</v>
      </c>
      <c r="AO176" s="5">
        <v>3.1743119266055042</v>
      </c>
      <c r="AP176" s="5">
        <v>11.6</v>
      </c>
      <c r="AQ176" s="5">
        <v>9.98</v>
      </c>
      <c r="AR176" s="5">
        <v>1.23</v>
      </c>
      <c r="AS176" s="5">
        <v>1.1100000000000001</v>
      </c>
      <c r="AT176" s="5">
        <v>25.12</v>
      </c>
      <c r="AU176" s="5">
        <v>0.11</v>
      </c>
      <c r="AV176" s="5">
        <v>0.14000000000000001</v>
      </c>
      <c r="AW176" s="5">
        <v>20.67</v>
      </c>
      <c r="AX176" s="5">
        <v>25.4</v>
      </c>
      <c r="AY176" s="5">
        <v>0.02</v>
      </c>
      <c r="BB176" s="5">
        <v>52.2</v>
      </c>
    </row>
    <row r="177" spans="1:54" x14ac:dyDescent="0.3">
      <c r="A177" s="1" t="s">
        <v>14</v>
      </c>
      <c r="B177" s="1" t="s">
        <v>15</v>
      </c>
      <c r="C177" s="1" t="s">
        <v>16</v>
      </c>
      <c r="D177" s="5">
        <v>49.534100000000002</v>
      </c>
      <c r="E177" s="5">
        <v>123.1802</v>
      </c>
      <c r="F177" s="1" t="s">
        <v>17</v>
      </c>
      <c r="G177" s="5" t="s">
        <v>231</v>
      </c>
      <c r="H177" s="5" t="s">
        <v>228</v>
      </c>
      <c r="I177" s="6">
        <v>2.4802249754429791E-5</v>
      </c>
      <c r="J177" s="3" t="s">
        <v>445</v>
      </c>
      <c r="K177" s="5">
        <v>45.96</v>
      </c>
      <c r="L177" s="5">
        <v>0.14000000000000001</v>
      </c>
      <c r="M177" s="5">
        <v>9.3699999999999992</v>
      </c>
      <c r="N177" s="5">
        <v>9.4499999999999993</v>
      </c>
      <c r="O177" s="5">
        <v>4.26</v>
      </c>
      <c r="P177" s="5">
        <v>4.1100000000000003</v>
      </c>
      <c r="Q177" s="5">
        <v>18.8</v>
      </c>
      <c r="R177" s="5">
        <v>0</v>
      </c>
      <c r="W177" s="5">
        <v>105</v>
      </c>
      <c r="X177" s="5">
        <v>1572</v>
      </c>
      <c r="Y177" s="5">
        <v>8.8000000000000007</v>
      </c>
      <c r="Z177" s="5">
        <v>7.49</v>
      </c>
      <c r="AA177" s="5">
        <v>0.85</v>
      </c>
      <c r="AB177" s="5">
        <v>87.2</v>
      </c>
      <c r="AC177" s="5">
        <v>4.42</v>
      </c>
      <c r="AD177" s="5">
        <v>70.3</v>
      </c>
      <c r="AE177" s="5">
        <v>128.4</v>
      </c>
      <c r="AH177" s="5">
        <v>1.38</v>
      </c>
      <c r="AI177" s="5">
        <v>2520</v>
      </c>
      <c r="AJ177" s="5">
        <v>26.4</v>
      </c>
      <c r="AK177" s="5">
        <v>282</v>
      </c>
      <c r="AL177" s="5">
        <v>5.87</v>
      </c>
      <c r="AM177" s="5">
        <v>13664.04</v>
      </c>
      <c r="AN177" s="5">
        <v>4014.88</v>
      </c>
      <c r="AO177" s="5">
        <v>3.2028985507246377</v>
      </c>
      <c r="AP177" s="5">
        <v>10.68</v>
      </c>
      <c r="AQ177" s="5">
        <v>11.64</v>
      </c>
      <c r="AR177" s="5">
        <v>1.24</v>
      </c>
      <c r="AS177" s="5">
        <v>1.2</v>
      </c>
      <c r="AT177" s="5">
        <v>27.06</v>
      </c>
      <c r="AU177" s="5">
        <v>0.1</v>
      </c>
      <c r="AV177" s="5">
        <v>0.15</v>
      </c>
      <c r="AW177" s="5">
        <v>28.9</v>
      </c>
      <c r="AX177" s="5">
        <v>35.85</v>
      </c>
      <c r="AY177" s="5">
        <v>0.01</v>
      </c>
      <c r="BB177" s="5">
        <v>63.19</v>
      </c>
    </row>
    <row r="178" spans="1:54" x14ac:dyDescent="0.3">
      <c r="A178" s="1" t="s">
        <v>14</v>
      </c>
      <c r="B178" s="1" t="s">
        <v>15</v>
      </c>
      <c r="C178" s="1" t="s">
        <v>16</v>
      </c>
      <c r="D178" s="5">
        <v>49.534100000000002</v>
      </c>
      <c r="E178" s="5">
        <v>123.1802</v>
      </c>
      <c r="F178" s="1" t="s">
        <v>17</v>
      </c>
      <c r="G178" s="5" t="s">
        <v>232</v>
      </c>
      <c r="H178" s="5" t="s">
        <v>228</v>
      </c>
      <c r="I178" s="6">
        <v>1.5958154108375311E-4</v>
      </c>
      <c r="J178" s="3" t="s">
        <v>445</v>
      </c>
      <c r="K178" s="5">
        <v>46.48</v>
      </c>
      <c r="L178" s="5">
        <v>0.14000000000000001</v>
      </c>
      <c r="M178" s="5">
        <v>6.21</v>
      </c>
      <c r="N178" s="5">
        <v>10.71</v>
      </c>
      <c r="O178" s="5">
        <v>4.3</v>
      </c>
      <c r="P178" s="5">
        <v>4.12</v>
      </c>
      <c r="Q178" s="5">
        <v>21.7</v>
      </c>
      <c r="R178" s="5">
        <v>0</v>
      </c>
      <c r="W178" s="5">
        <v>118</v>
      </c>
      <c r="X178" s="5">
        <v>1543</v>
      </c>
      <c r="Y178" s="5">
        <v>7.3</v>
      </c>
      <c r="Z178" s="5">
        <v>6.85</v>
      </c>
      <c r="AA178" s="5">
        <v>1.55</v>
      </c>
      <c r="AB178" s="5">
        <v>77.2</v>
      </c>
      <c r="AC178" s="5">
        <v>4.96</v>
      </c>
      <c r="AD178" s="5">
        <v>63.8</v>
      </c>
      <c r="AE178" s="5">
        <v>128</v>
      </c>
      <c r="AH178" s="5">
        <v>1.41</v>
      </c>
      <c r="AI178" s="5">
        <v>2117</v>
      </c>
      <c r="AJ178" s="5">
        <v>27.8</v>
      </c>
      <c r="AK178" s="5">
        <v>246</v>
      </c>
      <c r="AL178" s="5">
        <v>5.2</v>
      </c>
      <c r="AM178" s="5">
        <v>16360.89</v>
      </c>
      <c r="AN178" s="5">
        <v>4145.8</v>
      </c>
      <c r="AO178" s="5">
        <v>3.5177304964539009</v>
      </c>
      <c r="AP178" s="5">
        <v>8.85</v>
      </c>
      <c r="AQ178" s="5">
        <v>11.27</v>
      </c>
      <c r="AR178" s="5">
        <v>1.21</v>
      </c>
      <c r="AS178" s="5">
        <v>1.53</v>
      </c>
      <c r="AT178" s="5">
        <v>29.22</v>
      </c>
      <c r="AU178" s="5">
        <v>0.09</v>
      </c>
      <c r="AV178" s="5">
        <v>0.14000000000000001</v>
      </c>
      <c r="AW178" s="5">
        <v>27.42</v>
      </c>
      <c r="AX178" s="5">
        <v>33.18</v>
      </c>
      <c r="AY178" s="5">
        <v>0.02</v>
      </c>
      <c r="BB178" s="5">
        <v>54.75</v>
      </c>
    </row>
    <row r="179" spans="1:54" x14ac:dyDescent="0.3">
      <c r="A179" s="1" t="s">
        <v>14</v>
      </c>
      <c r="B179" s="1" t="s">
        <v>15</v>
      </c>
      <c r="C179" s="1" t="s">
        <v>16</v>
      </c>
      <c r="D179" s="5">
        <v>49.536499999999997</v>
      </c>
      <c r="E179" s="5">
        <v>123.1857</v>
      </c>
      <c r="F179" s="1" t="s">
        <v>17</v>
      </c>
      <c r="G179" s="5" t="s">
        <v>233</v>
      </c>
      <c r="H179" s="5" t="s">
        <v>228</v>
      </c>
      <c r="I179" s="6">
        <v>3.0246342066675419E-4</v>
      </c>
      <c r="J179" s="3" t="s">
        <v>445</v>
      </c>
      <c r="K179" s="5">
        <v>49.05</v>
      </c>
      <c r="L179" s="5">
        <v>0.13</v>
      </c>
      <c r="M179" s="5">
        <v>11.22</v>
      </c>
      <c r="N179" s="5">
        <v>7.83</v>
      </c>
      <c r="O179" s="5">
        <v>3.29</v>
      </c>
      <c r="P179" s="5">
        <v>3.11</v>
      </c>
      <c r="Q179" s="5">
        <v>23.1</v>
      </c>
      <c r="R179" s="5">
        <v>0</v>
      </c>
      <c r="W179" s="5">
        <v>72</v>
      </c>
      <c r="X179" s="5">
        <v>1007</v>
      </c>
      <c r="Y179" s="5">
        <v>3.44</v>
      </c>
      <c r="Z179" s="5">
        <v>4.71</v>
      </c>
      <c r="AA179" s="5">
        <v>1.28</v>
      </c>
      <c r="AB179" s="5">
        <v>52.6</v>
      </c>
      <c r="AC179" s="5">
        <v>3.44</v>
      </c>
      <c r="AD179" s="5">
        <v>44</v>
      </c>
      <c r="AE179" s="5">
        <v>88.6</v>
      </c>
      <c r="AH179" s="5">
        <v>1.24</v>
      </c>
      <c r="AI179" s="5">
        <v>4042</v>
      </c>
      <c r="AJ179" s="5">
        <v>1007</v>
      </c>
      <c r="AK179" s="5">
        <v>21.7</v>
      </c>
      <c r="AL179" s="5">
        <v>0.16</v>
      </c>
      <c r="AM179" s="5">
        <v>13783.9</v>
      </c>
      <c r="AN179" s="5">
        <v>2923.88</v>
      </c>
      <c r="AO179" s="5">
        <v>2.7741935483870965</v>
      </c>
      <c r="AP179" s="5">
        <v>0.02</v>
      </c>
      <c r="AQ179" s="5">
        <v>11.17</v>
      </c>
      <c r="AR179" s="5">
        <v>1.2</v>
      </c>
      <c r="AS179" s="5">
        <v>1.37</v>
      </c>
      <c r="AT179" s="5">
        <v>23.58</v>
      </c>
      <c r="AU179" s="5">
        <v>7.0000000000000007E-2</v>
      </c>
      <c r="AV179" s="5">
        <v>0.08</v>
      </c>
      <c r="AW179" s="5">
        <v>76.84</v>
      </c>
      <c r="AX179" s="5">
        <v>91.86</v>
      </c>
      <c r="AY179" s="5">
        <v>0.02</v>
      </c>
      <c r="BB179" s="5">
        <v>42.42</v>
      </c>
    </row>
    <row r="180" spans="1:54" x14ac:dyDescent="0.3">
      <c r="A180" s="1" t="s">
        <v>14</v>
      </c>
      <c r="B180" s="1" t="s">
        <v>15</v>
      </c>
      <c r="C180" s="1" t="s">
        <v>16</v>
      </c>
      <c r="D180" s="5">
        <v>49.377299999999998</v>
      </c>
      <c r="E180" s="5">
        <v>123.4659</v>
      </c>
      <c r="F180" s="1" t="s">
        <v>17</v>
      </c>
      <c r="G180" s="5" t="s">
        <v>234</v>
      </c>
      <c r="H180" s="5" t="s">
        <v>228</v>
      </c>
      <c r="I180" s="6">
        <v>9.755443170433864E-5</v>
      </c>
      <c r="J180" s="3" t="s">
        <v>445</v>
      </c>
      <c r="K180" s="5">
        <v>48.06</v>
      </c>
      <c r="L180" s="5">
        <v>0.13</v>
      </c>
      <c r="M180" s="5">
        <v>9.94</v>
      </c>
      <c r="N180" s="5">
        <v>8.7899999999999991</v>
      </c>
      <c r="O180" s="5">
        <v>3.67</v>
      </c>
      <c r="P180" s="5">
        <v>3.46</v>
      </c>
      <c r="Q180" s="5">
        <v>14.6</v>
      </c>
      <c r="R180" s="5">
        <v>0</v>
      </c>
      <c r="W180" s="5">
        <v>65</v>
      </c>
      <c r="X180" s="5">
        <v>1169</v>
      </c>
      <c r="Y180" s="5">
        <v>3.15</v>
      </c>
      <c r="Z180" s="5">
        <v>5.51</v>
      </c>
      <c r="AA180" s="5">
        <v>1.45</v>
      </c>
      <c r="AB180" s="5">
        <v>53.4</v>
      </c>
      <c r="AC180" s="5">
        <v>3.15</v>
      </c>
      <c r="AD180" s="5">
        <v>47.9</v>
      </c>
      <c r="AE180" s="5">
        <v>94.6</v>
      </c>
      <c r="AH180" s="5">
        <v>1.1599999999999999</v>
      </c>
      <c r="AI180" s="5">
        <v>1317</v>
      </c>
      <c r="AJ180" s="5">
        <v>1169</v>
      </c>
      <c r="AK180" s="5">
        <v>19.3</v>
      </c>
      <c r="AL180" s="5">
        <v>0.15</v>
      </c>
      <c r="AM180" s="5">
        <v>13184.6</v>
      </c>
      <c r="AN180" s="5">
        <v>3360.28</v>
      </c>
      <c r="AO180" s="5">
        <v>2.7155172413793105</v>
      </c>
      <c r="AP180" s="5">
        <v>0.02</v>
      </c>
      <c r="AQ180" s="5">
        <v>9.69</v>
      </c>
      <c r="AR180" s="5">
        <v>1.1100000000000001</v>
      </c>
      <c r="AS180" s="5">
        <v>1.22</v>
      </c>
      <c r="AT180" s="5">
        <v>26.51</v>
      </c>
      <c r="AU180" s="5">
        <v>0.06</v>
      </c>
      <c r="AV180" s="5">
        <v>7.0000000000000007E-2</v>
      </c>
      <c r="AW180" s="5">
        <v>24.66</v>
      </c>
      <c r="AX180" s="5">
        <v>27.49</v>
      </c>
      <c r="AY180" s="5">
        <v>0.03</v>
      </c>
      <c r="BB180" s="5">
        <v>46.03</v>
      </c>
    </row>
    <row r="181" spans="1:54" x14ac:dyDescent="0.3">
      <c r="A181" s="1" t="s">
        <v>14</v>
      </c>
      <c r="B181" s="1" t="s">
        <v>15</v>
      </c>
      <c r="C181" s="1" t="s">
        <v>16</v>
      </c>
      <c r="D181" s="5">
        <v>49.375399999999999</v>
      </c>
      <c r="E181" s="5">
        <v>123.4615</v>
      </c>
      <c r="F181" s="1" t="s">
        <v>17</v>
      </c>
      <c r="G181" s="5" t="s">
        <v>235</v>
      </c>
      <c r="H181" s="5" t="s">
        <v>226</v>
      </c>
      <c r="I181" s="6">
        <v>7.9127254139166325E-5</v>
      </c>
      <c r="J181" s="3" t="s">
        <v>445</v>
      </c>
      <c r="K181" s="5">
        <v>48.06</v>
      </c>
      <c r="L181" s="5">
        <v>0.12</v>
      </c>
      <c r="M181" s="5">
        <v>9.57</v>
      </c>
      <c r="N181" s="5">
        <v>8.43</v>
      </c>
      <c r="O181" s="5">
        <v>3.66</v>
      </c>
      <c r="P181" s="5">
        <v>3.21</v>
      </c>
      <c r="Q181" s="5">
        <v>16.3</v>
      </c>
      <c r="R181" s="5">
        <v>0</v>
      </c>
      <c r="W181" s="5">
        <v>67</v>
      </c>
      <c r="X181" s="5">
        <v>1190</v>
      </c>
      <c r="Y181" s="5">
        <v>3.05</v>
      </c>
      <c r="Z181" s="5">
        <v>5.63</v>
      </c>
      <c r="AA181" s="5">
        <v>1.06</v>
      </c>
      <c r="AB181" s="5">
        <v>51.7</v>
      </c>
      <c r="AC181" s="5">
        <v>3.05</v>
      </c>
      <c r="AD181" s="5">
        <v>48</v>
      </c>
      <c r="AE181" s="5">
        <v>94.8</v>
      </c>
      <c r="AH181" s="5">
        <v>1.1399999999999999</v>
      </c>
      <c r="AI181" s="5">
        <v>1331</v>
      </c>
      <c r="AJ181" s="5">
        <v>1190</v>
      </c>
      <c r="AK181" s="5">
        <v>19.5</v>
      </c>
      <c r="AL181" s="5">
        <v>0.15</v>
      </c>
      <c r="AM181" s="5">
        <v>13064.74</v>
      </c>
      <c r="AN181" s="5">
        <v>3360.28</v>
      </c>
      <c r="AO181" s="5">
        <v>2.6754385964912282</v>
      </c>
      <c r="AP181" s="5">
        <v>0.02</v>
      </c>
      <c r="AQ181" s="5">
        <v>9.18</v>
      </c>
      <c r="AR181" s="5">
        <v>1.08</v>
      </c>
      <c r="AS181" s="5">
        <v>1.3</v>
      </c>
      <c r="AT181" s="5">
        <v>26.62</v>
      </c>
      <c r="AU181" s="5">
        <v>0.06</v>
      </c>
      <c r="AV181" s="5">
        <v>7.0000000000000007E-2</v>
      </c>
      <c r="AW181" s="5">
        <v>25.74</v>
      </c>
      <c r="AX181" s="5">
        <v>27.73</v>
      </c>
      <c r="AY181" s="5">
        <v>0.02</v>
      </c>
      <c r="BB181" s="5">
        <v>45.35</v>
      </c>
    </row>
    <row r="182" spans="1:54" x14ac:dyDescent="0.3">
      <c r="A182" s="1" t="s">
        <v>14</v>
      </c>
      <c r="B182" s="1" t="s">
        <v>15</v>
      </c>
      <c r="C182" s="1" t="s">
        <v>16</v>
      </c>
      <c r="D182" s="5">
        <v>49.367699999999999</v>
      </c>
      <c r="E182" s="5">
        <v>123.5076</v>
      </c>
      <c r="F182" s="1" t="s">
        <v>17</v>
      </c>
      <c r="G182" s="5" t="s">
        <v>236</v>
      </c>
      <c r="H182" s="5" t="s">
        <v>226</v>
      </c>
      <c r="I182" s="6">
        <v>4.3948348320554942E-5</v>
      </c>
      <c r="J182" s="3" t="s">
        <v>445</v>
      </c>
      <c r="K182" s="5">
        <v>47.86</v>
      </c>
      <c r="L182" s="5">
        <v>0.16</v>
      </c>
      <c r="M182" s="5">
        <v>9.7200000000000006</v>
      </c>
      <c r="N182" s="5">
        <v>8.5</v>
      </c>
      <c r="O182" s="5">
        <v>4.7300000000000004</v>
      </c>
      <c r="P182" s="5">
        <v>3.8</v>
      </c>
      <c r="Q182" s="5">
        <v>14.7</v>
      </c>
      <c r="R182" s="5">
        <v>0</v>
      </c>
      <c r="W182" s="5">
        <v>69</v>
      </c>
      <c r="X182" s="5">
        <v>1174</v>
      </c>
      <c r="Y182" s="5">
        <v>3.1</v>
      </c>
      <c r="Z182" s="5">
        <v>5.44</v>
      </c>
      <c r="AA182" s="5">
        <v>1.01</v>
      </c>
      <c r="AB182" s="5">
        <v>52.7</v>
      </c>
      <c r="AC182" s="5">
        <v>3.1</v>
      </c>
      <c r="AD182" s="5">
        <v>47.6</v>
      </c>
      <c r="AE182" s="5">
        <v>94.2</v>
      </c>
      <c r="AH182" s="5">
        <v>1.1499999999999999</v>
      </c>
      <c r="AI182" s="5">
        <v>1306</v>
      </c>
      <c r="AJ182" s="5">
        <v>1174</v>
      </c>
      <c r="AK182" s="5">
        <v>19.399999999999999</v>
      </c>
      <c r="AL182" s="5">
        <v>0.14000000000000001</v>
      </c>
      <c r="AM182" s="5">
        <v>13124.67</v>
      </c>
      <c r="AN182" s="5">
        <v>3273</v>
      </c>
      <c r="AO182" s="5">
        <v>2.6956521739130439</v>
      </c>
      <c r="AP182" s="5">
        <v>0.02</v>
      </c>
      <c r="AQ182" s="5">
        <v>9.69</v>
      </c>
      <c r="AR182" s="5">
        <v>1.1100000000000001</v>
      </c>
      <c r="AS182" s="5">
        <v>1.31</v>
      </c>
      <c r="AT182" s="5">
        <v>26.74</v>
      </c>
      <c r="AU182" s="5">
        <v>0.06</v>
      </c>
      <c r="AV182" s="5">
        <v>7.0000000000000007E-2</v>
      </c>
      <c r="AW182" s="5">
        <v>24.78</v>
      </c>
      <c r="AX182" s="5">
        <v>27.44</v>
      </c>
      <c r="AY182" s="5">
        <v>0.02</v>
      </c>
      <c r="BB182" s="5">
        <v>45.83</v>
      </c>
    </row>
    <row r="183" spans="1:54" x14ac:dyDescent="0.3">
      <c r="A183" s="1" t="s">
        <v>14</v>
      </c>
      <c r="B183" s="1" t="s">
        <v>15</v>
      </c>
      <c r="C183" s="1" t="s">
        <v>16</v>
      </c>
      <c r="D183" s="5">
        <v>49.373899999999999</v>
      </c>
      <c r="E183" s="5">
        <v>123.4665</v>
      </c>
      <c r="F183" s="1" t="s">
        <v>17</v>
      </c>
      <c r="G183" s="5" t="s">
        <v>237</v>
      </c>
      <c r="H183" s="5" t="s">
        <v>226</v>
      </c>
      <c r="I183" s="6">
        <v>1.9546547264326361E-4</v>
      </c>
      <c r="J183" s="3" t="s">
        <v>445</v>
      </c>
      <c r="K183" s="5">
        <v>48.91</v>
      </c>
      <c r="L183" s="5">
        <v>0.13</v>
      </c>
      <c r="M183" s="5">
        <v>9.52</v>
      </c>
      <c r="N183" s="5">
        <v>8.6</v>
      </c>
      <c r="O183" s="5">
        <v>3.58</v>
      </c>
      <c r="P183" s="5">
        <v>3.06</v>
      </c>
      <c r="Q183" s="5">
        <v>18.5</v>
      </c>
      <c r="R183" s="5">
        <v>0</v>
      </c>
      <c r="W183" s="5">
        <v>67</v>
      </c>
      <c r="X183" s="5">
        <v>1159</v>
      </c>
      <c r="Y183" s="5">
        <v>3.09</v>
      </c>
      <c r="Z183" s="5">
        <v>5.52</v>
      </c>
      <c r="AA183" s="5">
        <v>1.03</v>
      </c>
      <c r="AB183" s="5">
        <v>51.8</v>
      </c>
      <c r="AC183" s="5">
        <v>3.09</v>
      </c>
      <c r="AD183" s="5">
        <v>46.9</v>
      </c>
      <c r="AE183" s="5">
        <v>93.1</v>
      </c>
      <c r="AH183" s="5">
        <v>1.25</v>
      </c>
      <c r="AI183" s="5">
        <v>1332</v>
      </c>
      <c r="AJ183" s="5">
        <v>1159</v>
      </c>
      <c r="AK183" s="5">
        <v>20</v>
      </c>
      <c r="AL183" s="5">
        <v>0.16</v>
      </c>
      <c r="AM183" s="5">
        <v>13484.25</v>
      </c>
      <c r="AN183" s="5">
        <v>3185.72</v>
      </c>
      <c r="AO183" s="5">
        <v>2.472</v>
      </c>
      <c r="AP183" s="5">
        <v>0.02</v>
      </c>
      <c r="AQ183" s="5">
        <v>9.3800000000000008</v>
      </c>
      <c r="AR183" s="5">
        <v>1.1000000000000001</v>
      </c>
      <c r="AS183" s="5">
        <v>1.29</v>
      </c>
      <c r="AT183" s="5">
        <v>26.58</v>
      </c>
      <c r="AU183" s="5">
        <v>0.06</v>
      </c>
      <c r="AV183" s="5">
        <v>7.0000000000000007E-2</v>
      </c>
      <c r="AW183" s="5">
        <v>25.71</v>
      </c>
      <c r="AX183" s="5">
        <v>28.4</v>
      </c>
      <c r="AY183" s="5">
        <v>0.02</v>
      </c>
      <c r="BB183" s="5">
        <v>41.44</v>
      </c>
    </row>
    <row r="184" spans="1:54" x14ac:dyDescent="0.3">
      <c r="A184" s="1" t="s">
        <v>14</v>
      </c>
      <c r="B184" s="1" t="s">
        <v>15</v>
      </c>
      <c r="C184" s="1" t="s">
        <v>16</v>
      </c>
      <c r="D184" s="5">
        <v>49.209000000000003</v>
      </c>
      <c r="E184" s="5">
        <v>123.7423</v>
      </c>
      <c r="F184" s="1" t="s">
        <v>17</v>
      </c>
      <c r="G184" s="5" t="s">
        <v>238</v>
      </c>
      <c r="H184" s="5" t="s">
        <v>226</v>
      </c>
      <c r="I184" s="6">
        <v>3.4803841117536649E-5</v>
      </c>
      <c r="J184" s="3" t="s">
        <v>445</v>
      </c>
      <c r="K184" s="5">
        <v>48.48</v>
      </c>
      <c r="L184" s="5">
        <v>0.13</v>
      </c>
      <c r="M184" s="5">
        <v>10.01</v>
      </c>
      <c r="N184" s="5">
        <v>8.7899999999999991</v>
      </c>
      <c r="O184" s="5">
        <v>3.04</v>
      </c>
      <c r="P184" s="5">
        <v>3.29</v>
      </c>
      <c r="Q184" s="5">
        <v>15</v>
      </c>
      <c r="R184" s="5">
        <v>0</v>
      </c>
      <c r="W184" s="5">
        <v>57</v>
      </c>
      <c r="X184" s="5">
        <v>1183</v>
      </c>
      <c r="Y184" s="5">
        <v>3.18</v>
      </c>
      <c r="Z184" s="5">
        <v>5.6</v>
      </c>
      <c r="AA184" s="5">
        <v>1.22</v>
      </c>
      <c r="AB184" s="5">
        <v>53.3</v>
      </c>
      <c r="AC184" s="5">
        <v>3.18</v>
      </c>
      <c r="AD184" s="5">
        <v>48.1</v>
      </c>
      <c r="AE184" s="5">
        <v>95.7</v>
      </c>
      <c r="AH184" s="5">
        <v>1.18</v>
      </c>
      <c r="AI184" s="5">
        <v>1320</v>
      </c>
      <c r="AJ184" s="5">
        <v>1183</v>
      </c>
      <c r="AK184" s="5">
        <v>19.600000000000001</v>
      </c>
      <c r="AL184" s="5">
        <v>0.14000000000000001</v>
      </c>
      <c r="AM184" s="5">
        <v>13304.46</v>
      </c>
      <c r="AN184" s="5">
        <v>3316.64</v>
      </c>
      <c r="AO184" s="5">
        <v>2.6949152542372885</v>
      </c>
      <c r="AP184" s="5">
        <v>0.02</v>
      </c>
      <c r="AQ184" s="5">
        <v>9.52</v>
      </c>
      <c r="AR184" s="5">
        <v>1.1100000000000001</v>
      </c>
      <c r="AS184" s="5">
        <v>1.07</v>
      </c>
      <c r="AT184" s="5">
        <v>26.64</v>
      </c>
      <c r="AU184" s="5">
        <v>0.06</v>
      </c>
      <c r="AV184" s="5">
        <v>7.0000000000000007E-2</v>
      </c>
      <c r="AW184" s="5">
        <v>24.77</v>
      </c>
      <c r="AX184" s="5">
        <v>27.44</v>
      </c>
      <c r="AY184" s="5">
        <v>0.02</v>
      </c>
      <c r="BB184" s="5">
        <v>45.17</v>
      </c>
    </row>
    <row r="185" spans="1:54" x14ac:dyDescent="0.3">
      <c r="A185" s="1" t="s">
        <v>14</v>
      </c>
      <c r="B185" s="1" t="s">
        <v>15</v>
      </c>
      <c r="C185" s="1" t="s">
        <v>16</v>
      </c>
      <c r="D185" s="5">
        <v>49.367199999999997</v>
      </c>
      <c r="E185" s="5">
        <v>123.15860000000001</v>
      </c>
      <c r="F185" s="1" t="s">
        <v>17</v>
      </c>
      <c r="G185" s="5" t="s">
        <v>239</v>
      </c>
      <c r="H185" s="5" t="s">
        <v>198</v>
      </c>
      <c r="I185" s="6">
        <v>6.5721158171072602E-4</v>
      </c>
      <c r="J185" s="3" t="s">
        <v>445</v>
      </c>
      <c r="K185" s="5">
        <v>48.88</v>
      </c>
      <c r="L185" s="5">
        <v>0.14000000000000001</v>
      </c>
      <c r="M185" s="5">
        <v>7.66</v>
      </c>
      <c r="N185" s="5">
        <v>7.71</v>
      </c>
      <c r="O185" s="5">
        <v>4.09</v>
      </c>
      <c r="P185" s="5">
        <v>4.49</v>
      </c>
      <c r="Q185" s="5">
        <v>17.399999999999999</v>
      </c>
      <c r="R185" s="5">
        <v>0</v>
      </c>
      <c r="W185" s="5">
        <v>89</v>
      </c>
      <c r="X185" s="5">
        <v>1516</v>
      </c>
      <c r="Y185" s="5">
        <v>3.61</v>
      </c>
      <c r="Z185" s="5">
        <v>8.2200000000000006</v>
      </c>
      <c r="AA185" s="5">
        <v>1.73</v>
      </c>
      <c r="AB185" s="5">
        <v>67.5</v>
      </c>
      <c r="AC185" s="5">
        <v>3.61</v>
      </c>
      <c r="AD185" s="5">
        <v>93</v>
      </c>
      <c r="AE185" s="5">
        <v>172.8</v>
      </c>
      <c r="AH185" s="5">
        <v>1.37</v>
      </c>
      <c r="AI185" s="5">
        <v>1690</v>
      </c>
      <c r="AJ185" s="5">
        <v>25.3</v>
      </c>
      <c r="AK185" s="5">
        <v>474</v>
      </c>
      <c r="AL185" s="5">
        <v>0.18</v>
      </c>
      <c r="AM185" s="5">
        <v>14263.34</v>
      </c>
      <c r="AN185" s="5">
        <v>4364</v>
      </c>
      <c r="AO185" s="5">
        <v>2.6350364963503647</v>
      </c>
      <c r="AP185" s="5">
        <v>18.739999999999998</v>
      </c>
      <c r="AQ185" s="5">
        <v>8.2100000000000009</v>
      </c>
      <c r="AR185" s="5">
        <v>0.73</v>
      </c>
      <c r="AS185" s="5">
        <v>1.32</v>
      </c>
      <c r="AT185" s="5">
        <v>20.27</v>
      </c>
      <c r="AU185" s="5">
        <v>0.05</v>
      </c>
      <c r="AV185" s="5">
        <v>0.05</v>
      </c>
      <c r="AW185" s="5">
        <v>25.04</v>
      </c>
      <c r="AX185" s="5">
        <v>18.170000000000002</v>
      </c>
      <c r="AY185" s="5">
        <v>0.03</v>
      </c>
      <c r="BB185" s="5">
        <v>49.27</v>
      </c>
    </row>
    <row r="186" spans="1:54" x14ac:dyDescent="0.3">
      <c r="A186" s="1" t="s">
        <v>14</v>
      </c>
      <c r="B186" s="1" t="s">
        <v>15</v>
      </c>
      <c r="C186" s="1" t="s">
        <v>16</v>
      </c>
      <c r="D186" s="5">
        <v>49.377800000000001</v>
      </c>
      <c r="E186" s="5">
        <v>123.465</v>
      </c>
      <c r="F186" s="1" t="s">
        <v>17</v>
      </c>
      <c r="G186" s="5" t="s">
        <v>240</v>
      </c>
      <c r="H186" s="5" t="s">
        <v>241</v>
      </c>
      <c r="I186" s="6">
        <v>1.7260949825868011E-3</v>
      </c>
      <c r="J186" s="3" t="s">
        <v>445</v>
      </c>
      <c r="K186" s="5">
        <v>48.9</v>
      </c>
      <c r="L186" s="5">
        <v>0.1</v>
      </c>
      <c r="M186" s="5">
        <v>10.4</v>
      </c>
      <c r="N186" s="5">
        <v>8.4</v>
      </c>
      <c r="O186" s="5">
        <v>3.7</v>
      </c>
      <c r="P186" s="5">
        <v>3.1</v>
      </c>
      <c r="Q186" s="5">
        <v>17</v>
      </c>
      <c r="R186" s="5">
        <v>166</v>
      </c>
      <c r="W186" s="5">
        <v>66.36</v>
      </c>
      <c r="X186" s="5">
        <v>1226</v>
      </c>
      <c r="Y186" s="5">
        <v>5.31</v>
      </c>
      <c r="Z186" s="5">
        <v>5.87</v>
      </c>
      <c r="AA186" s="5">
        <v>1.28</v>
      </c>
      <c r="AB186" s="5">
        <v>53.9</v>
      </c>
      <c r="AC186" s="5">
        <v>3.11</v>
      </c>
      <c r="AD186" s="5">
        <v>53.1</v>
      </c>
      <c r="AE186" s="5">
        <v>98.7</v>
      </c>
      <c r="AH186" s="5">
        <v>1.18</v>
      </c>
      <c r="AI186" s="5">
        <v>1420</v>
      </c>
      <c r="AJ186" s="5">
        <v>19.28</v>
      </c>
      <c r="AK186" s="5">
        <v>203</v>
      </c>
      <c r="AL186" s="5">
        <v>5.21</v>
      </c>
      <c r="AM186" s="5">
        <v>12585.3</v>
      </c>
      <c r="AN186" s="5">
        <v>3927.6</v>
      </c>
      <c r="AO186" s="5">
        <v>2.6355932203389831</v>
      </c>
      <c r="AP186" s="5">
        <v>10.53</v>
      </c>
      <c r="AQ186" s="5">
        <v>9.18</v>
      </c>
      <c r="AR186" s="5">
        <v>1.02</v>
      </c>
      <c r="AS186" s="5">
        <v>1.23</v>
      </c>
      <c r="AT186" s="5">
        <v>26.54</v>
      </c>
      <c r="AU186" s="5">
        <v>0.1</v>
      </c>
      <c r="AV186" s="5">
        <v>0.11</v>
      </c>
      <c r="AW186" s="5">
        <v>26.35</v>
      </c>
      <c r="AX186" s="5">
        <v>26.74</v>
      </c>
      <c r="AY186" s="5">
        <v>0.02</v>
      </c>
      <c r="BB186" s="5">
        <v>45.68</v>
      </c>
    </row>
    <row r="187" spans="1:54" x14ac:dyDescent="0.3">
      <c r="A187" s="1" t="s">
        <v>14</v>
      </c>
      <c r="B187" s="1" t="s">
        <v>15</v>
      </c>
      <c r="C187" s="1" t="s">
        <v>16</v>
      </c>
      <c r="D187" s="5">
        <v>49.532499999999999</v>
      </c>
      <c r="E187" s="5">
        <v>123.3172</v>
      </c>
      <c r="F187" s="1" t="s">
        <v>17</v>
      </c>
      <c r="G187" s="5" t="s">
        <v>242</v>
      </c>
      <c r="H187" s="5" t="s">
        <v>241</v>
      </c>
      <c r="I187" s="6">
        <v>2.1445257880259311E-4</v>
      </c>
      <c r="J187" s="3" t="s">
        <v>445</v>
      </c>
      <c r="K187" s="5">
        <v>49.9</v>
      </c>
      <c r="L187" s="5">
        <v>0.2</v>
      </c>
      <c r="M187" s="5">
        <v>9.9</v>
      </c>
      <c r="N187" s="5">
        <v>8.1</v>
      </c>
      <c r="O187" s="5">
        <v>3.3</v>
      </c>
      <c r="P187" s="5">
        <v>2.8</v>
      </c>
      <c r="Q187" s="5">
        <v>17.7</v>
      </c>
      <c r="R187" s="5">
        <v>167</v>
      </c>
      <c r="W187" s="5">
        <v>54.46</v>
      </c>
      <c r="X187" s="5">
        <v>1080</v>
      </c>
      <c r="Y187" s="5">
        <v>5.98</v>
      </c>
      <c r="Z187" s="5">
        <v>5.7</v>
      </c>
      <c r="AA187" s="5">
        <v>1.21</v>
      </c>
      <c r="AB187" s="5">
        <v>51.4</v>
      </c>
      <c r="AC187" s="5">
        <v>3.03</v>
      </c>
      <c r="AD187" s="5">
        <v>49.1</v>
      </c>
      <c r="AE187" s="5">
        <v>90.9</v>
      </c>
      <c r="AH187" s="5">
        <v>1.19</v>
      </c>
      <c r="AI187" s="5">
        <v>1223</v>
      </c>
      <c r="AJ187" s="5">
        <v>19.52</v>
      </c>
      <c r="AK187" s="5">
        <v>204</v>
      </c>
      <c r="AL187" s="5">
        <v>5.26</v>
      </c>
      <c r="AM187" s="5">
        <v>13184.6</v>
      </c>
      <c r="AN187" s="5">
        <v>3054.8</v>
      </c>
      <c r="AO187" s="5">
        <v>2.5462184873949578</v>
      </c>
      <c r="AP187" s="5">
        <v>10.45</v>
      </c>
      <c r="AQ187" s="5">
        <v>9.02</v>
      </c>
      <c r="AR187" s="5">
        <v>1.05</v>
      </c>
      <c r="AS187" s="5">
        <v>1.06</v>
      </c>
      <c r="AT187" s="5">
        <v>23.95</v>
      </c>
      <c r="AU187" s="5">
        <v>0.12</v>
      </c>
      <c r="AV187" s="5">
        <v>0.13</v>
      </c>
      <c r="AW187" s="5">
        <v>23.79</v>
      </c>
      <c r="AX187" s="5">
        <v>24.91</v>
      </c>
      <c r="AY187" s="5">
        <v>0.02</v>
      </c>
      <c r="BB187" s="5">
        <v>43.19</v>
      </c>
    </row>
    <row r="188" spans="1:54" x14ac:dyDescent="0.3">
      <c r="A188" s="1" t="s">
        <v>14</v>
      </c>
      <c r="B188" s="1" t="s">
        <v>15</v>
      </c>
      <c r="C188" s="1" t="s">
        <v>16</v>
      </c>
      <c r="D188" s="5">
        <v>49.5364</v>
      </c>
      <c r="E188" s="5">
        <v>123.1833</v>
      </c>
      <c r="F188" s="1" t="s">
        <v>17</v>
      </c>
      <c r="G188" s="5" t="s">
        <v>243</v>
      </c>
      <c r="H188" s="5" t="s">
        <v>241</v>
      </c>
      <c r="I188" s="6">
        <v>7.0341583341360092E-4</v>
      </c>
      <c r="J188" s="3" t="s">
        <v>445</v>
      </c>
      <c r="K188" s="5">
        <v>49.1</v>
      </c>
      <c r="L188" s="5">
        <v>0.2</v>
      </c>
      <c r="M188" s="5">
        <v>11.8</v>
      </c>
      <c r="N188" s="5">
        <v>7.7</v>
      </c>
      <c r="O188" s="5">
        <v>3.4</v>
      </c>
      <c r="P188" s="5">
        <v>2.8</v>
      </c>
      <c r="Q188" s="5">
        <v>17.8</v>
      </c>
      <c r="R188" s="5">
        <v>181</v>
      </c>
      <c r="W188" s="5">
        <v>57.47</v>
      </c>
      <c r="X188" s="5">
        <v>908</v>
      </c>
      <c r="Y188" s="5">
        <v>5.09</v>
      </c>
      <c r="Z188" s="5">
        <v>5.67</v>
      </c>
      <c r="AA188" s="5">
        <v>1.25</v>
      </c>
      <c r="AB188" s="5">
        <v>53.7</v>
      </c>
      <c r="AC188" s="5">
        <v>3.58</v>
      </c>
      <c r="AD188" s="5">
        <v>48.3</v>
      </c>
      <c r="AE188" s="5">
        <v>90.7</v>
      </c>
      <c r="AH188" s="5">
        <v>1.32</v>
      </c>
      <c r="AI188" s="5">
        <v>1058</v>
      </c>
      <c r="AJ188" s="5">
        <v>20.92</v>
      </c>
      <c r="AK188" s="5">
        <v>211</v>
      </c>
      <c r="AL188" s="5">
        <v>5.56</v>
      </c>
      <c r="AM188" s="5">
        <v>13783.9</v>
      </c>
      <c r="AN188" s="5">
        <v>3054.8</v>
      </c>
      <c r="AO188" s="5">
        <v>2.7121212121212119</v>
      </c>
      <c r="AP188" s="5">
        <v>10.09</v>
      </c>
      <c r="AQ188" s="5">
        <v>9.4700000000000006</v>
      </c>
      <c r="AR188" s="5">
        <v>1.1100000000000001</v>
      </c>
      <c r="AS188" s="5">
        <v>1.07</v>
      </c>
      <c r="AT188" s="5">
        <v>20.13</v>
      </c>
      <c r="AU188" s="5">
        <v>0.09</v>
      </c>
      <c r="AV188" s="5">
        <v>0.11</v>
      </c>
      <c r="AW188" s="5">
        <v>19.7</v>
      </c>
      <c r="AX188" s="5">
        <v>21.9</v>
      </c>
      <c r="AY188" s="5">
        <v>0.02</v>
      </c>
      <c r="BB188" s="5">
        <v>40.68</v>
      </c>
    </row>
    <row r="189" spans="1:54" x14ac:dyDescent="0.3">
      <c r="A189" s="1" t="s">
        <v>14</v>
      </c>
      <c r="B189" s="1" t="s">
        <v>15</v>
      </c>
      <c r="C189" s="1" t="s">
        <v>16</v>
      </c>
      <c r="D189" s="5">
        <v>49.5364</v>
      </c>
      <c r="E189" s="5">
        <v>123.1833</v>
      </c>
      <c r="F189" s="1" t="s">
        <v>17</v>
      </c>
      <c r="G189" s="5" t="s">
        <v>244</v>
      </c>
      <c r="H189" s="5" t="s">
        <v>241</v>
      </c>
      <c r="I189" s="6">
        <v>2.4608735111542051E-4</v>
      </c>
      <c r="J189" s="3" t="s">
        <v>445</v>
      </c>
      <c r="K189" s="5">
        <v>47.1</v>
      </c>
      <c r="L189" s="5">
        <v>0.2</v>
      </c>
      <c r="M189" s="5">
        <v>8.4</v>
      </c>
      <c r="N189" s="5">
        <v>9.3000000000000007</v>
      </c>
      <c r="O189" s="5">
        <v>4.4000000000000004</v>
      </c>
      <c r="P189" s="5">
        <v>4.0999999999999996</v>
      </c>
      <c r="Q189" s="5">
        <v>17.100000000000001</v>
      </c>
      <c r="R189" s="5">
        <v>202</v>
      </c>
      <c r="W189" s="5">
        <v>89.83</v>
      </c>
      <c r="X189" s="5">
        <v>1511</v>
      </c>
      <c r="Y189" s="5">
        <v>8.26</v>
      </c>
      <c r="Z189" s="5">
        <v>7.39</v>
      </c>
      <c r="AA189" s="5">
        <v>0.77</v>
      </c>
      <c r="AB189" s="5">
        <v>76</v>
      </c>
      <c r="AC189" s="5">
        <v>4.7699999999999996</v>
      </c>
      <c r="AD189" s="5">
        <v>68.599999999999994</v>
      </c>
      <c r="AE189" s="5">
        <v>124</v>
      </c>
      <c r="AH189" s="5">
        <v>1.3</v>
      </c>
      <c r="AI189" s="5">
        <v>1944</v>
      </c>
      <c r="AJ189" s="5">
        <v>21.29</v>
      </c>
      <c r="AK189" s="5">
        <v>241</v>
      </c>
      <c r="AL189" s="5">
        <v>6.16</v>
      </c>
      <c r="AM189" s="5">
        <v>14383.2</v>
      </c>
      <c r="AN189" s="5">
        <v>4364</v>
      </c>
      <c r="AO189" s="5">
        <v>3.6692307692307686</v>
      </c>
      <c r="AP189" s="5">
        <v>11.32</v>
      </c>
      <c r="AQ189" s="5">
        <v>10.28</v>
      </c>
      <c r="AR189" s="5">
        <v>1.1100000000000001</v>
      </c>
      <c r="AS189" s="5">
        <v>1.18</v>
      </c>
      <c r="AT189" s="5">
        <v>26.6</v>
      </c>
      <c r="AU189" s="5">
        <v>0.11</v>
      </c>
      <c r="AV189" s="5">
        <v>0.15</v>
      </c>
      <c r="AW189" s="5">
        <v>25.58</v>
      </c>
      <c r="AX189" s="5">
        <v>28.34</v>
      </c>
      <c r="AY189" s="5">
        <v>0.01</v>
      </c>
      <c r="BB189" s="5">
        <v>58.46</v>
      </c>
    </row>
    <row r="190" spans="1:54" x14ac:dyDescent="0.3">
      <c r="A190" s="1" t="s">
        <v>14</v>
      </c>
      <c r="B190" s="1" t="s">
        <v>15</v>
      </c>
      <c r="C190" s="1" t="s">
        <v>16</v>
      </c>
      <c r="D190" s="5">
        <v>49.534999999999997</v>
      </c>
      <c r="E190" s="5">
        <v>123.1725</v>
      </c>
      <c r="F190" s="1" t="s">
        <v>17</v>
      </c>
      <c r="G190" s="5" t="s">
        <v>245</v>
      </c>
      <c r="H190" s="5" t="s">
        <v>241</v>
      </c>
      <c r="I190" s="6">
        <v>1.7560205888003111E-3</v>
      </c>
      <c r="J190" s="3" t="s">
        <v>445</v>
      </c>
      <c r="K190" s="5">
        <v>46.1</v>
      </c>
      <c r="L190" s="5">
        <v>0.2</v>
      </c>
      <c r="M190" s="5">
        <v>6.9</v>
      </c>
      <c r="N190" s="5">
        <v>10.199999999999999</v>
      </c>
      <c r="O190" s="5">
        <v>4.2</v>
      </c>
      <c r="P190" s="5">
        <v>4.3</v>
      </c>
      <c r="Q190" s="5">
        <v>18.399999999999999</v>
      </c>
      <c r="R190" s="5">
        <v>218</v>
      </c>
      <c r="W190" s="5">
        <v>94.6</v>
      </c>
      <c r="X190" s="5">
        <v>1444</v>
      </c>
      <c r="Y190" s="5">
        <v>7.37</v>
      </c>
      <c r="Z190" s="5">
        <v>7.49</v>
      </c>
      <c r="AA190" s="5">
        <v>1.55</v>
      </c>
      <c r="AB190" s="5">
        <v>75.5</v>
      </c>
      <c r="AC190" s="5">
        <v>4.3600000000000003</v>
      </c>
      <c r="AD190" s="5">
        <v>62.6</v>
      </c>
      <c r="AE190" s="5">
        <v>115.1</v>
      </c>
      <c r="AH190" s="5">
        <v>1.33</v>
      </c>
      <c r="AI190" s="5">
        <v>2057</v>
      </c>
      <c r="AJ190" s="5">
        <v>20.96</v>
      </c>
      <c r="AK190" s="5">
        <v>228</v>
      </c>
      <c r="AL190" s="5">
        <v>5.62</v>
      </c>
      <c r="AM190" s="5">
        <v>16181.1</v>
      </c>
      <c r="AN190" s="5">
        <v>4800.3999999999996</v>
      </c>
      <c r="AO190" s="5">
        <v>3.2781954887218046</v>
      </c>
      <c r="AP190" s="5">
        <v>10.88</v>
      </c>
      <c r="AQ190" s="5">
        <v>10.08</v>
      </c>
      <c r="AR190" s="5">
        <v>1.21</v>
      </c>
      <c r="AS190" s="5">
        <v>1.25</v>
      </c>
      <c r="AT190" s="5">
        <v>26.84</v>
      </c>
      <c r="AU190" s="5">
        <v>0.1</v>
      </c>
      <c r="AV190" s="5">
        <v>0.14000000000000001</v>
      </c>
      <c r="AW190" s="5">
        <v>27.25</v>
      </c>
      <c r="AX190" s="5">
        <v>32.86</v>
      </c>
      <c r="AY190" s="5">
        <v>0.02</v>
      </c>
      <c r="BB190" s="5">
        <v>56.77</v>
      </c>
    </row>
    <row r="191" spans="1:54" x14ac:dyDescent="0.3">
      <c r="A191" s="1" t="s">
        <v>14</v>
      </c>
      <c r="B191" s="1" t="s">
        <v>15</v>
      </c>
      <c r="C191" s="1" t="s">
        <v>16</v>
      </c>
      <c r="D191" s="5">
        <v>49.533299999999997</v>
      </c>
      <c r="E191" s="5">
        <v>123.18559999999999</v>
      </c>
      <c r="F191" s="1" t="s">
        <v>17</v>
      </c>
      <c r="G191" s="5" t="s">
        <v>246</v>
      </c>
      <c r="H191" s="5" t="s">
        <v>241</v>
      </c>
      <c r="I191" s="6">
        <v>1.8918003479484469E-4</v>
      </c>
      <c r="J191" s="3" t="s">
        <v>445</v>
      </c>
      <c r="K191" s="5">
        <v>46.9</v>
      </c>
      <c r="L191" s="5">
        <v>0.2</v>
      </c>
      <c r="M191" s="5">
        <v>9.6999999999999993</v>
      </c>
      <c r="N191" s="5">
        <v>8.6999999999999993</v>
      </c>
      <c r="O191" s="5">
        <v>4.2</v>
      </c>
      <c r="P191" s="5">
        <v>3.8</v>
      </c>
      <c r="Q191" s="5">
        <v>16.2</v>
      </c>
      <c r="R191" s="5">
        <v>169</v>
      </c>
      <c r="W191" s="5">
        <v>78.2</v>
      </c>
      <c r="X191" s="5">
        <v>1242</v>
      </c>
      <c r="Y191" s="5">
        <v>7.47</v>
      </c>
      <c r="Z191" s="5">
        <v>7.35</v>
      </c>
      <c r="AA191" s="5">
        <v>1.71</v>
      </c>
      <c r="AB191" s="5">
        <v>67.5</v>
      </c>
      <c r="AC191" s="5">
        <v>3.94</v>
      </c>
      <c r="AD191" s="5">
        <v>57.3</v>
      </c>
      <c r="AE191" s="5">
        <v>107.3</v>
      </c>
      <c r="AH191" s="5">
        <v>1.24</v>
      </c>
      <c r="AI191" s="5">
        <v>1498</v>
      </c>
      <c r="AJ191" s="5">
        <v>19</v>
      </c>
      <c r="AK191" s="5">
        <v>230</v>
      </c>
      <c r="AL191" s="5">
        <v>5.62</v>
      </c>
      <c r="AM191" s="5">
        <v>12585.3</v>
      </c>
      <c r="AN191" s="5">
        <v>3927.6</v>
      </c>
      <c r="AO191" s="5">
        <v>3.1774193548387095</v>
      </c>
      <c r="AP191" s="5">
        <v>12.11</v>
      </c>
      <c r="AQ191" s="5">
        <v>9.18</v>
      </c>
      <c r="AR191" s="5">
        <v>1.18</v>
      </c>
      <c r="AS191" s="5">
        <v>1.1599999999999999</v>
      </c>
      <c r="AT191" s="5">
        <v>25.04</v>
      </c>
      <c r="AU191" s="5">
        <v>0.11</v>
      </c>
      <c r="AV191" s="5">
        <v>0.15</v>
      </c>
      <c r="AW191" s="5">
        <v>22.19</v>
      </c>
      <c r="AX191" s="5">
        <v>26.14</v>
      </c>
      <c r="AY191" s="5">
        <v>0.03</v>
      </c>
      <c r="BB191" s="5">
        <v>54.44</v>
      </c>
    </row>
    <row r="192" spans="1:54" x14ac:dyDescent="0.3">
      <c r="A192" s="1" t="s">
        <v>14</v>
      </c>
      <c r="B192" s="1" t="s">
        <v>15</v>
      </c>
      <c r="C192" s="1" t="s">
        <v>16</v>
      </c>
      <c r="D192" s="5">
        <v>49.892499999999998</v>
      </c>
      <c r="E192" s="5">
        <v>123.6067</v>
      </c>
      <c r="F192" s="1" t="s">
        <v>17</v>
      </c>
      <c r="G192" s="5" t="s">
        <v>247</v>
      </c>
      <c r="H192" s="5" t="s">
        <v>241</v>
      </c>
      <c r="I192" s="6">
        <v>4.7648383770138031E-4</v>
      </c>
      <c r="J192" s="3" t="s">
        <v>445</v>
      </c>
      <c r="K192" s="5">
        <v>45.8</v>
      </c>
      <c r="L192" s="5">
        <v>0.2</v>
      </c>
      <c r="M192" s="5">
        <v>11.2</v>
      </c>
      <c r="N192" s="5">
        <v>9.4</v>
      </c>
      <c r="O192" s="5">
        <v>3.4</v>
      </c>
      <c r="P192" s="5">
        <v>3</v>
      </c>
      <c r="Q192" s="5">
        <v>21.2</v>
      </c>
      <c r="R192" s="5">
        <v>230</v>
      </c>
      <c r="W192" s="5">
        <v>75.05</v>
      </c>
      <c r="X192" s="5">
        <v>1060</v>
      </c>
      <c r="Y192" s="5">
        <v>6.79</v>
      </c>
      <c r="Z192" s="5">
        <v>7.52</v>
      </c>
      <c r="AA192" s="5">
        <v>1.65</v>
      </c>
      <c r="AB192" s="5">
        <v>65.599999999999994</v>
      </c>
      <c r="AC192" s="5">
        <v>3.92</v>
      </c>
      <c r="AD192" s="5">
        <v>62.3</v>
      </c>
      <c r="AE192" s="5">
        <v>116.2</v>
      </c>
      <c r="AH192" s="5">
        <v>1.25</v>
      </c>
      <c r="AI192" s="5">
        <v>1646</v>
      </c>
      <c r="AJ192" s="5">
        <v>20.18</v>
      </c>
      <c r="AK192" s="5">
        <v>221</v>
      </c>
      <c r="AL192" s="5">
        <v>5.7</v>
      </c>
      <c r="AM192" s="5">
        <v>16181.1</v>
      </c>
      <c r="AN192" s="5">
        <v>3491.2</v>
      </c>
      <c r="AO192" s="5">
        <v>3.1360000000000001</v>
      </c>
      <c r="AP192" s="5">
        <v>10.95</v>
      </c>
      <c r="AQ192" s="5">
        <v>8.7200000000000006</v>
      </c>
      <c r="AR192" s="5">
        <v>1.05</v>
      </c>
      <c r="AS192" s="5">
        <v>1.1399999999999999</v>
      </c>
      <c r="AT192" s="5">
        <v>19.809999999999999</v>
      </c>
      <c r="AU192" s="5">
        <v>0.1</v>
      </c>
      <c r="AV192" s="5">
        <v>0.13</v>
      </c>
      <c r="AW192" s="5">
        <v>25.09</v>
      </c>
      <c r="AX192" s="5">
        <v>26.42</v>
      </c>
      <c r="AY192" s="5">
        <v>0.03</v>
      </c>
      <c r="BB192" s="5">
        <v>52.48</v>
      </c>
    </row>
    <row r="193" spans="1:54" x14ac:dyDescent="0.3">
      <c r="A193" s="1" t="s">
        <v>14</v>
      </c>
      <c r="B193" s="1" t="s">
        <v>15</v>
      </c>
      <c r="C193" s="1" t="s">
        <v>16</v>
      </c>
      <c r="D193" s="5">
        <v>49.621899999999997</v>
      </c>
      <c r="E193" s="5">
        <v>123.6322</v>
      </c>
      <c r="F193" s="1" t="s">
        <v>17</v>
      </c>
      <c r="G193" s="5" t="s">
        <v>248</v>
      </c>
      <c r="H193" s="5" t="s">
        <v>241</v>
      </c>
      <c r="I193" s="6">
        <v>4.8803060781210661E-4</v>
      </c>
      <c r="J193" s="3" t="s">
        <v>445</v>
      </c>
      <c r="K193" s="5">
        <v>46.4</v>
      </c>
      <c r="L193" s="5">
        <v>0.2</v>
      </c>
      <c r="M193" s="5">
        <v>12.2</v>
      </c>
      <c r="N193" s="5">
        <v>8.5</v>
      </c>
      <c r="O193" s="5">
        <v>3.6</v>
      </c>
      <c r="P193" s="5">
        <v>3</v>
      </c>
      <c r="Q193" s="5">
        <v>20.9</v>
      </c>
      <c r="R193" s="5">
        <v>217</v>
      </c>
      <c r="W193" s="5">
        <v>71.91</v>
      </c>
      <c r="X193" s="5">
        <v>1224</v>
      </c>
      <c r="Y193" s="5">
        <v>8.02</v>
      </c>
      <c r="Z193" s="5">
        <v>7.31</v>
      </c>
      <c r="AA193" s="5">
        <v>1.47</v>
      </c>
      <c r="AB193" s="5">
        <v>65</v>
      </c>
      <c r="AC193" s="5">
        <v>3.98</v>
      </c>
      <c r="AD193" s="5">
        <v>75.2</v>
      </c>
      <c r="AE193" s="5">
        <v>137.19999999999999</v>
      </c>
      <c r="AH193" s="5">
        <v>1.35</v>
      </c>
      <c r="AI193" s="5">
        <v>1605</v>
      </c>
      <c r="AJ193" s="5">
        <v>20.239999999999998</v>
      </c>
      <c r="AK193" s="5">
        <v>255</v>
      </c>
      <c r="AL193" s="5">
        <v>6.56</v>
      </c>
      <c r="AM193" s="5">
        <v>14383.2</v>
      </c>
      <c r="AN193" s="5">
        <v>3927.6</v>
      </c>
      <c r="AO193" s="5">
        <v>2.9481481481481477</v>
      </c>
      <c r="AP193" s="5">
        <v>12.6</v>
      </c>
      <c r="AQ193" s="5">
        <v>8.89</v>
      </c>
      <c r="AR193" s="5">
        <v>0.86</v>
      </c>
      <c r="AS193" s="5">
        <v>1.1100000000000001</v>
      </c>
      <c r="AT193" s="5">
        <v>19.899999999999999</v>
      </c>
      <c r="AU193" s="5">
        <v>0.12</v>
      </c>
      <c r="AV193" s="5">
        <v>0.13</v>
      </c>
      <c r="AW193" s="5">
        <v>24.69</v>
      </c>
      <c r="AX193" s="5">
        <v>21.34</v>
      </c>
      <c r="AY193" s="5">
        <v>0.02</v>
      </c>
      <c r="BB193" s="5">
        <v>48.15</v>
      </c>
    </row>
    <row r="194" spans="1:54" x14ac:dyDescent="0.3">
      <c r="A194" s="1" t="s">
        <v>14</v>
      </c>
      <c r="B194" s="1" t="s">
        <v>15</v>
      </c>
      <c r="C194" s="1" t="s">
        <v>16</v>
      </c>
      <c r="D194" s="5">
        <v>49.344700000000003</v>
      </c>
      <c r="E194" s="5">
        <v>123.5373</v>
      </c>
      <c r="F194" s="1" t="s">
        <v>17</v>
      </c>
      <c r="G194" s="5" t="s">
        <v>249</v>
      </c>
      <c r="H194" s="5" t="s">
        <v>241</v>
      </c>
      <c r="I194" s="6">
        <v>1.8270140280947089E-3</v>
      </c>
      <c r="J194" s="3" t="s">
        <v>445</v>
      </c>
      <c r="K194" s="5">
        <v>45.36</v>
      </c>
      <c r="L194" s="5">
        <v>0.16</v>
      </c>
      <c r="M194" s="5">
        <v>16.37</v>
      </c>
      <c r="N194" s="5">
        <v>7.67</v>
      </c>
      <c r="O194" s="5">
        <v>3.25</v>
      </c>
      <c r="P194" s="5">
        <v>2.88</v>
      </c>
      <c r="Q194" s="5">
        <v>19.2</v>
      </c>
      <c r="R194" s="5">
        <v>193</v>
      </c>
      <c r="W194" s="5">
        <v>66.349999999999994</v>
      </c>
      <c r="X194" s="5">
        <v>1075</v>
      </c>
      <c r="Y194" s="5">
        <v>7.92</v>
      </c>
      <c r="Z194" s="5">
        <v>7.8</v>
      </c>
      <c r="AA194" s="5">
        <v>1.74</v>
      </c>
      <c r="AB194" s="5">
        <v>65.2</v>
      </c>
      <c r="AC194" s="5">
        <v>4.3</v>
      </c>
      <c r="AD194" s="5">
        <v>70.900000000000006</v>
      </c>
      <c r="AE194" s="5">
        <v>126.6</v>
      </c>
      <c r="AH194" s="5">
        <v>1.18</v>
      </c>
      <c r="AI194" s="5">
        <v>1412</v>
      </c>
      <c r="AJ194" s="5">
        <v>19.170000000000002</v>
      </c>
      <c r="AK194" s="5">
        <v>260</v>
      </c>
      <c r="AL194" s="5">
        <v>6.71</v>
      </c>
      <c r="AM194" s="5">
        <v>12285.65</v>
      </c>
      <c r="AN194" s="5">
        <v>3709.4</v>
      </c>
      <c r="AO194" s="5">
        <v>3.6440677966101696</v>
      </c>
      <c r="AP194" s="5">
        <v>13.56</v>
      </c>
      <c r="AQ194" s="5">
        <v>8.36</v>
      </c>
      <c r="AR194" s="5">
        <v>0.92</v>
      </c>
      <c r="AS194" s="5">
        <v>1.02</v>
      </c>
      <c r="AT194" s="5">
        <v>18.93</v>
      </c>
      <c r="AU194" s="5">
        <v>0.12</v>
      </c>
      <c r="AV194" s="5">
        <v>0.14000000000000001</v>
      </c>
      <c r="AW194" s="5">
        <v>21.66</v>
      </c>
      <c r="AX194" s="5">
        <v>19.920000000000002</v>
      </c>
      <c r="AY194" s="5">
        <v>0.03</v>
      </c>
      <c r="BB194" s="5">
        <v>55.25</v>
      </c>
    </row>
    <row r="195" spans="1:54" x14ac:dyDescent="0.3">
      <c r="A195" s="1" t="s">
        <v>14</v>
      </c>
      <c r="B195" s="1" t="s">
        <v>15</v>
      </c>
      <c r="C195" s="1" t="s">
        <v>16</v>
      </c>
      <c r="D195" s="5">
        <v>49.5794</v>
      </c>
      <c r="E195" s="5">
        <v>123.7</v>
      </c>
      <c r="F195" s="1" t="s">
        <v>17</v>
      </c>
      <c r="G195" s="5" t="s">
        <v>250</v>
      </c>
      <c r="H195" s="5" t="s">
        <v>241</v>
      </c>
      <c r="I195" s="6">
        <v>5.0473655574023724E-4</v>
      </c>
      <c r="J195" s="3" t="s">
        <v>445</v>
      </c>
      <c r="K195" s="5">
        <v>46.51</v>
      </c>
      <c r="L195" s="5">
        <v>0.15</v>
      </c>
      <c r="M195" s="5">
        <v>13.28</v>
      </c>
      <c r="N195" s="5">
        <v>8.23</v>
      </c>
      <c r="O195" s="5">
        <v>3.88</v>
      </c>
      <c r="P195" s="5">
        <v>3.03</v>
      </c>
      <c r="Q195" s="5">
        <v>19.2</v>
      </c>
      <c r="R195" s="5">
        <v>192</v>
      </c>
      <c r="W195" s="5">
        <v>67.03</v>
      </c>
      <c r="X195" s="5">
        <v>1269</v>
      </c>
      <c r="Y195" s="5">
        <v>9.83</v>
      </c>
      <c r="Z195" s="5">
        <v>8.44</v>
      </c>
      <c r="AA195" s="5">
        <v>1.44</v>
      </c>
      <c r="AB195" s="5">
        <v>69.5</v>
      </c>
      <c r="AC195" s="5">
        <v>4.32</v>
      </c>
      <c r="AD195" s="5">
        <v>82.9</v>
      </c>
      <c r="AE195" s="5">
        <v>148.69999999999999</v>
      </c>
      <c r="AH195" s="5">
        <v>1.33</v>
      </c>
      <c r="AI195" s="5">
        <v>1601</v>
      </c>
      <c r="AJ195" s="5">
        <v>20.41</v>
      </c>
      <c r="AK195" s="5">
        <v>291</v>
      </c>
      <c r="AL195" s="5">
        <v>7.42</v>
      </c>
      <c r="AM195" s="5">
        <v>13124.67</v>
      </c>
      <c r="AN195" s="5">
        <v>4145.8</v>
      </c>
      <c r="AO195" s="5">
        <v>3.2481203007518795</v>
      </c>
      <c r="AP195" s="5">
        <v>14.26</v>
      </c>
      <c r="AQ195" s="5">
        <v>8.23</v>
      </c>
      <c r="AR195" s="5">
        <v>0.84</v>
      </c>
      <c r="AS195" s="5">
        <v>0.96</v>
      </c>
      <c r="AT195" s="5">
        <v>19.86</v>
      </c>
      <c r="AU195" s="5">
        <v>0.14000000000000001</v>
      </c>
      <c r="AV195" s="5">
        <v>0.15</v>
      </c>
      <c r="AW195" s="5">
        <v>23.04</v>
      </c>
      <c r="AX195" s="5">
        <v>19.309999999999999</v>
      </c>
      <c r="AY195" s="5">
        <v>0.02</v>
      </c>
      <c r="BB195" s="5">
        <v>52.26</v>
      </c>
    </row>
    <row r="196" spans="1:54" x14ac:dyDescent="0.3">
      <c r="A196" s="1" t="s">
        <v>14</v>
      </c>
      <c r="B196" s="1" t="s">
        <v>15</v>
      </c>
      <c r="C196" s="1" t="s">
        <v>16</v>
      </c>
      <c r="D196" s="5">
        <v>49.588900000000002</v>
      </c>
      <c r="E196" s="5">
        <v>123.6769</v>
      </c>
      <c r="F196" s="1" t="s">
        <v>17</v>
      </c>
      <c r="G196" s="5" t="s">
        <v>251</v>
      </c>
      <c r="H196" s="5" t="s">
        <v>241</v>
      </c>
      <c r="I196" s="6">
        <v>6.1027175979688764E-4</v>
      </c>
      <c r="J196" s="3" t="s">
        <v>445</v>
      </c>
      <c r="K196" s="5">
        <v>46.13</v>
      </c>
      <c r="L196" s="5">
        <v>0.17</v>
      </c>
      <c r="M196" s="5">
        <v>10.39</v>
      </c>
      <c r="N196" s="5">
        <v>8.73</v>
      </c>
      <c r="O196" s="5">
        <v>4.0999999999999996</v>
      </c>
      <c r="P196" s="5">
        <v>3.26</v>
      </c>
      <c r="Q196" s="5">
        <v>20</v>
      </c>
      <c r="R196" s="5">
        <v>213</v>
      </c>
      <c r="W196" s="5">
        <v>75.13</v>
      </c>
      <c r="X196" s="5">
        <v>1365</v>
      </c>
      <c r="Y196" s="5">
        <v>9.14</v>
      </c>
      <c r="Z196" s="5">
        <v>9.0500000000000007</v>
      </c>
      <c r="AA196" s="5">
        <v>1.48</v>
      </c>
      <c r="AB196" s="5">
        <v>78.900000000000006</v>
      </c>
      <c r="AC196" s="5">
        <v>5.0599999999999996</v>
      </c>
      <c r="AD196" s="5">
        <v>83.7</v>
      </c>
      <c r="AE196" s="5">
        <v>152.80000000000001</v>
      </c>
      <c r="AH196" s="5">
        <v>1.43</v>
      </c>
      <c r="AI196" s="5">
        <v>1670</v>
      </c>
      <c r="AJ196" s="5">
        <v>22.72</v>
      </c>
      <c r="AK196" s="5">
        <v>305</v>
      </c>
      <c r="AL196" s="5">
        <v>7.75</v>
      </c>
      <c r="AM196" s="5">
        <v>16121.17</v>
      </c>
      <c r="AN196" s="5">
        <v>4320.3599999999997</v>
      </c>
      <c r="AO196" s="5">
        <v>3.5384615384615383</v>
      </c>
      <c r="AP196" s="5">
        <v>13.42</v>
      </c>
      <c r="AQ196" s="5">
        <v>8.7200000000000006</v>
      </c>
      <c r="AR196" s="5">
        <v>0.94</v>
      </c>
      <c r="AS196" s="5">
        <v>0.95</v>
      </c>
      <c r="AT196" s="5">
        <v>19.440000000000001</v>
      </c>
      <c r="AU196" s="5">
        <v>0.12</v>
      </c>
      <c r="AV196" s="5">
        <v>0.13</v>
      </c>
      <c r="AW196" s="5">
        <v>21.17</v>
      </c>
      <c r="AX196" s="5">
        <v>19.95</v>
      </c>
      <c r="AY196" s="5">
        <v>0.02</v>
      </c>
      <c r="BB196" s="5">
        <v>55.17</v>
      </c>
    </row>
    <row r="197" spans="1:54" x14ac:dyDescent="0.3">
      <c r="A197" s="1" t="s">
        <v>14</v>
      </c>
      <c r="B197" s="1" t="s">
        <v>15</v>
      </c>
      <c r="C197" s="1" t="s">
        <v>16</v>
      </c>
      <c r="D197" s="5">
        <v>49.624400000000001</v>
      </c>
      <c r="E197" s="5">
        <v>123.6314</v>
      </c>
      <c r="F197" s="1" t="s">
        <v>17</v>
      </c>
      <c r="G197" s="5" t="s">
        <v>252</v>
      </c>
      <c r="H197" s="5" t="s">
        <v>241</v>
      </c>
      <c r="I197" s="6">
        <v>4.843688802793622E-4</v>
      </c>
      <c r="J197" s="3" t="s">
        <v>445</v>
      </c>
      <c r="K197" s="5">
        <v>45.91</v>
      </c>
      <c r="L197" s="5">
        <v>0.15</v>
      </c>
      <c r="M197" s="5">
        <v>13.7</v>
      </c>
      <c r="N197" s="5">
        <v>8.08</v>
      </c>
      <c r="O197" s="5">
        <v>3.47</v>
      </c>
      <c r="P197" s="5">
        <v>3.02</v>
      </c>
      <c r="Q197" s="5">
        <v>20.6</v>
      </c>
      <c r="R197" s="5">
        <v>200</v>
      </c>
      <c r="W197" s="5">
        <v>81.94</v>
      </c>
      <c r="X197" s="5">
        <v>1286</v>
      </c>
      <c r="Y197" s="5">
        <v>9.27</v>
      </c>
      <c r="Z197" s="5">
        <v>7.94</v>
      </c>
      <c r="AA197" s="5">
        <v>1.64</v>
      </c>
      <c r="AB197" s="5">
        <v>68</v>
      </c>
      <c r="AC197" s="5">
        <v>4.13</v>
      </c>
      <c r="AD197" s="5">
        <v>81.8</v>
      </c>
      <c r="AE197" s="5">
        <v>145.9</v>
      </c>
      <c r="AH197" s="5">
        <v>1.36</v>
      </c>
      <c r="AI197" s="5">
        <v>1656</v>
      </c>
      <c r="AJ197" s="5">
        <v>20.93</v>
      </c>
      <c r="AK197" s="5">
        <v>280</v>
      </c>
      <c r="AL197" s="5">
        <v>7.1</v>
      </c>
      <c r="AM197" s="5">
        <v>12825.02</v>
      </c>
      <c r="AN197" s="5">
        <v>4014.88</v>
      </c>
      <c r="AO197" s="5">
        <v>3.0367647058823528</v>
      </c>
      <c r="AP197" s="5">
        <v>13.38</v>
      </c>
      <c r="AQ197" s="5">
        <v>8.56</v>
      </c>
      <c r="AR197" s="5">
        <v>0.83</v>
      </c>
      <c r="AS197" s="5">
        <v>1.21</v>
      </c>
      <c r="AT197" s="5">
        <v>20.68</v>
      </c>
      <c r="AU197" s="5">
        <v>0.14000000000000001</v>
      </c>
      <c r="AV197" s="5">
        <v>0.15</v>
      </c>
      <c r="AW197" s="5">
        <v>24.35</v>
      </c>
      <c r="AX197" s="5">
        <v>20.239999999999998</v>
      </c>
      <c r="AY197" s="5">
        <v>0.02</v>
      </c>
      <c r="BB197" s="5">
        <v>50</v>
      </c>
    </row>
    <row r="198" spans="1:54" x14ac:dyDescent="0.3">
      <c r="A198" s="1" t="s">
        <v>14</v>
      </c>
      <c r="B198" s="1" t="s">
        <v>15</v>
      </c>
      <c r="C198" s="1" t="s">
        <v>16</v>
      </c>
      <c r="D198" s="5">
        <v>49.561100000000003</v>
      </c>
      <c r="E198" s="5">
        <v>123.7333</v>
      </c>
      <c r="F198" s="1" t="s">
        <v>17</v>
      </c>
      <c r="G198" s="5" t="s">
        <v>253</v>
      </c>
      <c r="H198" s="5" t="s">
        <v>241</v>
      </c>
      <c r="I198" s="6">
        <v>1.920618815347552E-4</v>
      </c>
      <c r="J198" s="3" t="s">
        <v>445</v>
      </c>
      <c r="K198" s="5">
        <v>46.52</v>
      </c>
      <c r="L198" s="5">
        <v>0.15</v>
      </c>
      <c r="M198" s="5">
        <v>10.92</v>
      </c>
      <c r="N198" s="5">
        <v>7.74</v>
      </c>
      <c r="O198" s="5">
        <v>3.62</v>
      </c>
      <c r="P198" s="5">
        <v>3.91</v>
      </c>
      <c r="Q198" s="5">
        <v>17.3</v>
      </c>
      <c r="R198" s="5">
        <v>167</v>
      </c>
      <c r="W198" s="5">
        <v>85.22</v>
      </c>
      <c r="X198" s="5">
        <v>1494</v>
      </c>
      <c r="Y198" s="5">
        <v>9.3699999999999992</v>
      </c>
      <c r="Z198" s="5">
        <v>10.029999999999999</v>
      </c>
      <c r="AA198" s="5">
        <v>2.04</v>
      </c>
      <c r="AB198" s="5">
        <v>82.2</v>
      </c>
      <c r="AC198" s="5">
        <v>5.35</v>
      </c>
      <c r="AD198" s="5">
        <v>93.2</v>
      </c>
      <c r="AE198" s="5">
        <v>171.8</v>
      </c>
      <c r="AH198" s="5">
        <v>1.46</v>
      </c>
      <c r="AI198" s="5">
        <v>1881</v>
      </c>
      <c r="AJ198" s="5">
        <v>25.45</v>
      </c>
      <c r="AK198" s="5">
        <v>334</v>
      </c>
      <c r="AL198" s="5">
        <v>8.4499999999999993</v>
      </c>
      <c r="AM198" s="5">
        <v>16480.75</v>
      </c>
      <c r="AN198" s="5">
        <v>4538.5600000000004</v>
      </c>
      <c r="AO198" s="5">
        <v>3.6643835616438354</v>
      </c>
      <c r="AP198" s="5">
        <v>13.12</v>
      </c>
      <c r="AQ198" s="5">
        <v>8.1999999999999993</v>
      </c>
      <c r="AR198" s="5">
        <v>0.88</v>
      </c>
      <c r="AS198" s="5">
        <v>1.04</v>
      </c>
      <c r="AT198" s="5">
        <v>19.100000000000001</v>
      </c>
      <c r="AU198" s="5">
        <v>0.11</v>
      </c>
      <c r="AV198" s="5">
        <v>0.12</v>
      </c>
      <c r="AW198" s="5">
        <v>22.88</v>
      </c>
      <c r="AX198" s="5">
        <v>20.18</v>
      </c>
      <c r="AY198" s="5">
        <v>0.02</v>
      </c>
      <c r="BB198" s="5">
        <v>56.3</v>
      </c>
    </row>
    <row r="199" spans="1:54" x14ac:dyDescent="0.3">
      <c r="A199" s="1" t="s">
        <v>14</v>
      </c>
      <c r="B199" s="1" t="s">
        <v>15</v>
      </c>
      <c r="C199" s="1" t="s">
        <v>16</v>
      </c>
      <c r="D199" s="5">
        <v>49.533299999999997</v>
      </c>
      <c r="E199" s="5">
        <v>123.18559999999999</v>
      </c>
      <c r="F199" s="1" t="s">
        <v>17</v>
      </c>
      <c r="G199" s="5" t="s">
        <v>254</v>
      </c>
      <c r="H199" s="5" t="s">
        <v>241</v>
      </c>
      <c r="I199" s="6">
        <v>7.0602232881356031E-5</v>
      </c>
      <c r="J199" s="3" t="s">
        <v>445</v>
      </c>
      <c r="K199" s="5">
        <v>46.04</v>
      </c>
      <c r="L199" s="5">
        <v>0.16</v>
      </c>
      <c r="M199" s="5">
        <v>9.7899999999999991</v>
      </c>
      <c r="N199" s="5">
        <v>9.4</v>
      </c>
      <c r="O199" s="5">
        <v>3.96</v>
      </c>
      <c r="P199" s="5">
        <v>3.84</v>
      </c>
      <c r="Q199" s="5">
        <v>16.899999999999999</v>
      </c>
      <c r="R199" s="5">
        <v>166</v>
      </c>
      <c r="W199" s="5">
        <v>84.58</v>
      </c>
      <c r="X199" s="5">
        <v>1425</v>
      </c>
      <c r="Y199" s="5">
        <v>7.27</v>
      </c>
      <c r="Z199" s="5">
        <v>8.18</v>
      </c>
      <c r="AA199" s="5">
        <v>1.98</v>
      </c>
      <c r="AB199" s="5">
        <v>72.900000000000006</v>
      </c>
      <c r="AC199" s="5">
        <v>4.0199999999999996</v>
      </c>
      <c r="AD199" s="5">
        <v>69.5</v>
      </c>
      <c r="AE199" s="5">
        <v>125.3</v>
      </c>
      <c r="AH199" s="5">
        <v>1.24</v>
      </c>
      <c r="AI199" s="5">
        <v>2041</v>
      </c>
      <c r="AJ199" s="5">
        <v>21.16</v>
      </c>
      <c r="AK199" s="5">
        <v>223</v>
      </c>
      <c r="AL199" s="5">
        <v>5.39</v>
      </c>
      <c r="AM199" s="5">
        <v>13004.81</v>
      </c>
      <c r="AN199" s="5">
        <v>4756.76</v>
      </c>
      <c r="AO199" s="5">
        <v>3.2419354838709675</v>
      </c>
      <c r="AP199" s="5">
        <v>10.54</v>
      </c>
      <c r="AQ199" s="5">
        <v>8.91</v>
      </c>
      <c r="AR199" s="5">
        <v>1.05</v>
      </c>
      <c r="AS199" s="5">
        <v>1.1599999999999999</v>
      </c>
      <c r="AT199" s="5">
        <v>24.32</v>
      </c>
      <c r="AU199" s="5">
        <v>0.1</v>
      </c>
      <c r="AV199" s="5">
        <v>0.12</v>
      </c>
      <c r="AW199" s="5">
        <v>28</v>
      </c>
      <c r="AX199" s="5">
        <v>29.37</v>
      </c>
      <c r="AY199" s="5">
        <v>0.03</v>
      </c>
      <c r="BB199" s="5">
        <v>58.79</v>
      </c>
    </row>
    <row r="200" spans="1:54" x14ac:dyDescent="0.3">
      <c r="A200" s="1" t="s">
        <v>14</v>
      </c>
      <c r="B200" s="1" t="s">
        <v>15</v>
      </c>
      <c r="C200" s="1" t="s">
        <v>16</v>
      </c>
      <c r="D200" s="5">
        <v>49.533299999999997</v>
      </c>
      <c r="E200" s="5">
        <v>123.18559999999999</v>
      </c>
      <c r="F200" s="1" t="s">
        <v>17</v>
      </c>
      <c r="G200" s="5" t="s">
        <v>255</v>
      </c>
      <c r="H200" s="5" t="s">
        <v>241</v>
      </c>
      <c r="I200" s="6">
        <v>3.6340366932563478E-4</v>
      </c>
      <c r="J200" s="3" t="s">
        <v>445</v>
      </c>
      <c r="K200" s="5">
        <v>46.02</v>
      </c>
      <c r="L200" s="5">
        <v>0.23</v>
      </c>
      <c r="M200" s="5">
        <v>9.86</v>
      </c>
      <c r="N200" s="5">
        <v>9.42</v>
      </c>
      <c r="O200" s="5">
        <v>4.24</v>
      </c>
      <c r="P200" s="5">
        <v>3.84</v>
      </c>
      <c r="Q200" s="5">
        <v>17.8</v>
      </c>
      <c r="R200" s="5">
        <v>179</v>
      </c>
      <c r="W200" s="5">
        <v>87.69</v>
      </c>
      <c r="X200" s="5">
        <v>1535</v>
      </c>
      <c r="Y200" s="5">
        <v>8.14</v>
      </c>
      <c r="Z200" s="5">
        <v>8.74</v>
      </c>
      <c r="AA200" s="5">
        <v>1.87</v>
      </c>
      <c r="AB200" s="5">
        <v>77.2</v>
      </c>
      <c r="AC200" s="5">
        <v>4.28</v>
      </c>
      <c r="AD200" s="5">
        <v>72</v>
      </c>
      <c r="AE200" s="5">
        <v>128.4</v>
      </c>
      <c r="AH200" s="5">
        <v>1.4</v>
      </c>
      <c r="AI200" s="5">
        <v>2099</v>
      </c>
      <c r="AJ200" s="5">
        <v>21.85</v>
      </c>
      <c r="AK200" s="5">
        <v>241</v>
      </c>
      <c r="AL200" s="5">
        <v>5.88</v>
      </c>
      <c r="AM200" s="5">
        <v>12944.88</v>
      </c>
      <c r="AN200" s="5">
        <v>4669.4799999999996</v>
      </c>
      <c r="AO200" s="5">
        <v>3.0571428571428574</v>
      </c>
      <c r="AP200" s="5">
        <v>11.03</v>
      </c>
      <c r="AQ200" s="5">
        <v>8.83</v>
      </c>
      <c r="AR200" s="5">
        <v>1.07</v>
      </c>
      <c r="AS200" s="5">
        <v>1.1399999999999999</v>
      </c>
      <c r="AT200" s="5">
        <v>25.89</v>
      </c>
      <c r="AU200" s="5">
        <v>0.11</v>
      </c>
      <c r="AV200" s="5">
        <v>0.14000000000000001</v>
      </c>
      <c r="AW200" s="5">
        <v>27.19</v>
      </c>
      <c r="AX200" s="5">
        <v>29.15</v>
      </c>
      <c r="AY200" s="5">
        <v>0.02</v>
      </c>
      <c r="BB200" s="5">
        <v>55.14</v>
      </c>
    </row>
    <row r="201" spans="1:54" x14ac:dyDescent="0.3">
      <c r="A201" s="1" t="s">
        <v>14</v>
      </c>
      <c r="B201" s="1" t="s">
        <v>15</v>
      </c>
      <c r="C201" s="1" t="s">
        <v>16</v>
      </c>
      <c r="D201" s="5">
        <v>43.5</v>
      </c>
      <c r="E201" s="5">
        <v>123.5</v>
      </c>
      <c r="F201" s="1" t="s">
        <v>17</v>
      </c>
      <c r="G201" s="5" t="s">
        <v>256</v>
      </c>
      <c r="H201" s="5" t="s">
        <v>257</v>
      </c>
      <c r="I201" s="6">
        <v>8.0541749412077479E-6</v>
      </c>
      <c r="J201" s="3" t="s">
        <v>445</v>
      </c>
      <c r="K201" s="5">
        <v>46.51</v>
      </c>
      <c r="L201" s="5">
        <v>0.19</v>
      </c>
      <c r="M201" s="5">
        <v>8.51</v>
      </c>
      <c r="N201" s="5">
        <v>8.35</v>
      </c>
      <c r="O201" s="5">
        <v>3.34</v>
      </c>
      <c r="P201" s="5">
        <v>1.83</v>
      </c>
      <c r="Q201" s="5">
        <v>0</v>
      </c>
      <c r="R201" s="5">
        <v>170</v>
      </c>
      <c r="W201" s="5">
        <v>30</v>
      </c>
      <c r="X201" s="5">
        <v>672</v>
      </c>
      <c r="Y201" s="5">
        <v>0</v>
      </c>
      <c r="Z201" s="5">
        <v>4.32</v>
      </c>
      <c r="AA201" s="5">
        <v>1.28</v>
      </c>
      <c r="AB201" s="5">
        <v>53.5</v>
      </c>
      <c r="AC201" s="5">
        <v>3.03</v>
      </c>
      <c r="AD201" s="5">
        <v>34</v>
      </c>
      <c r="AE201" s="5">
        <v>67.7</v>
      </c>
      <c r="AH201" s="5">
        <v>1.53</v>
      </c>
      <c r="AI201" s="5">
        <v>343</v>
      </c>
      <c r="AJ201" s="5">
        <v>19.7</v>
      </c>
      <c r="AK201" s="5">
        <v>235</v>
      </c>
      <c r="AL201" s="5">
        <v>5.41</v>
      </c>
      <c r="AM201" s="5">
        <v>12345.58</v>
      </c>
      <c r="AN201" s="5">
        <v>2312.92</v>
      </c>
      <c r="AO201" s="5">
        <v>1.9803921568627449</v>
      </c>
      <c r="AP201" s="5">
        <v>11.93</v>
      </c>
      <c r="AQ201" s="5">
        <v>12.38</v>
      </c>
      <c r="AR201" s="5">
        <v>1.57</v>
      </c>
      <c r="AS201" s="5">
        <v>0.56000000000000005</v>
      </c>
      <c r="AT201" s="5">
        <v>20.36</v>
      </c>
      <c r="AU201" s="5">
        <v>0</v>
      </c>
      <c r="AV201" s="5">
        <v>0</v>
      </c>
      <c r="AW201" s="5">
        <v>6.41</v>
      </c>
      <c r="AX201" s="5">
        <v>10.09</v>
      </c>
      <c r="AY201" s="5">
        <v>0.02</v>
      </c>
      <c r="BB201" s="5">
        <v>34.97</v>
      </c>
    </row>
    <row r="202" spans="1:54" x14ac:dyDescent="0.3">
      <c r="A202" s="1" t="s">
        <v>14</v>
      </c>
      <c r="B202" s="1" t="s">
        <v>15</v>
      </c>
      <c r="C202" s="1" t="s">
        <v>16</v>
      </c>
      <c r="D202" s="5">
        <v>43.5</v>
      </c>
      <c r="E202" s="5">
        <v>123.5</v>
      </c>
      <c r="F202" s="1" t="s">
        <v>17</v>
      </c>
      <c r="G202" s="5" t="s">
        <v>258</v>
      </c>
      <c r="H202" s="5" t="s">
        <v>257</v>
      </c>
      <c r="I202" s="6">
        <v>4.4406638153304812E-6</v>
      </c>
      <c r="J202" s="3" t="s">
        <v>445</v>
      </c>
      <c r="K202" s="5">
        <v>46.76</v>
      </c>
      <c r="L202" s="5">
        <v>0.19</v>
      </c>
      <c r="M202" s="5">
        <v>8.8800000000000008</v>
      </c>
      <c r="N202" s="5">
        <v>8.0399999999999991</v>
      </c>
      <c r="O202" s="5">
        <v>3.29</v>
      </c>
      <c r="P202" s="5">
        <v>1.66</v>
      </c>
      <c r="Q202" s="5">
        <v>0</v>
      </c>
      <c r="R202" s="5">
        <v>165</v>
      </c>
      <c r="W202" s="5">
        <v>29.3</v>
      </c>
      <c r="X202" s="5">
        <v>678</v>
      </c>
      <c r="Y202" s="5">
        <v>0</v>
      </c>
      <c r="Z202" s="5">
        <v>4.57</v>
      </c>
      <c r="AA202" s="5">
        <v>1.32</v>
      </c>
      <c r="AB202" s="5">
        <v>51.1</v>
      </c>
      <c r="AC202" s="5">
        <v>2.95</v>
      </c>
      <c r="AD202" s="5">
        <v>33.299999999999997</v>
      </c>
      <c r="AE202" s="5">
        <v>65.8</v>
      </c>
      <c r="AH202" s="5">
        <v>1.38</v>
      </c>
      <c r="AI202" s="5">
        <v>300</v>
      </c>
      <c r="AJ202" s="5">
        <v>18.899999999999999</v>
      </c>
      <c r="AK202" s="5">
        <v>233</v>
      </c>
      <c r="AL202" s="5">
        <v>5.57</v>
      </c>
      <c r="AM202" s="5">
        <v>11926.07</v>
      </c>
      <c r="AN202" s="5">
        <v>2269.2800000000002</v>
      </c>
      <c r="AO202" s="5">
        <v>2.13768115942029</v>
      </c>
      <c r="AP202" s="5">
        <v>12.33</v>
      </c>
      <c r="AQ202" s="5">
        <v>11.18</v>
      </c>
      <c r="AR202" s="5">
        <v>1.53</v>
      </c>
      <c r="AS202" s="5">
        <v>0.56999999999999995</v>
      </c>
      <c r="AT202" s="5">
        <v>20.99</v>
      </c>
      <c r="AU202" s="5">
        <v>0</v>
      </c>
      <c r="AV202" s="5">
        <v>0</v>
      </c>
      <c r="AW202" s="5">
        <v>5.87</v>
      </c>
      <c r="AX202" s="5">
        <v>9.01</v>
      </c>
      <c r="AY202" s="5">
        <v>0.03</v>
      </c>
      <c r="BB202" s="5">
        <v>37.03</v>
      </c>
    </row>
    <row r="203" spans="1:54" x14ac:dyDescent="0.3">
      <c r="A203" s="1" t="s">
        <v>14</v>
      </c>
      <c r="B203" s="1" t="s">
        <v>15</v>
      </c>
      <c r="C203" s="1" t="s">
        <v>16</v>
      </c>
      <c r="D203" s="5">
        <v>43.5</v>
      </c>
      <c r="E203" s="5">
        <v>123.5</v>
      </c>
      <c r="F203" s="1" t="s">
        <v>17</v>
      </c>
      <c r="G203" s="5" t="s">
        <v>259</v>
      </c>
      <c r="H203" s="5" t="s">
        <v>257</v>
      </c>
      <c r="I203" s="6">
        <v>1.290417276322842E-5</v>
      </c>
      <c r="J203" s="3" t="s">
        <v>445</v>
      </c>
      <c r="K203" s="5">
        <v>46.6</v>
      </c>
      <c r="L203" s="5">
        <v>0.19</v>
      </c>
      <c r="M203" s="5">
        <v>9.5500000000000007</v>
      </c>
      <c r="N203" s="5">
        <v>8.4</v>
      </c>
      <c r="O203" s="5">
        <v>3.04</v>
      </c>
      <c r="P203" s="5">
        <v>1.46</v>
      </c>
      <c r="Q203" s="5">
        <v>0</v>
      </c>
      <c r="R203" s="5">
        <v>171</v>
      </c>
      <c r="W203" s="5">
        <v>24.9</v>
      </c>
      <c r="X203" s="5">
        <v>661</v>
      </c>
      <c r="Y203" s="5">
        <v>0</v>
      </c>
      <c r="Z203" s="5">
        <v>4</v>
      </c>
      <c r="AA203" s="5">
        <v>1.1299999999999999</v>
      </c>
      <c r="AB203" s="5">
        <v>44.5</v>
      </c>
      <c r="AC203" s="5">
        <v>2.57</v>
      </c>
      <c r="AD203" s="5">
        <v>28</v>
      </c>
      <c r="AE203" s="5">
        <v>56.2</v>
      </c>
      <c r="AH203" s="5">
        <v>1.3</v>
      </c>
      <c r="AI203" s="5">
        <v>257</v>
      </c>
      <c r="AJ203" s="5">
        <v>17.2</v>
      </c>
      <c r="AK203" s="5">
        <v>204</v>
      </c>
      <c r="AL203" s="5">
        <v>4.82</v>
      </c>
      <c r="AM203" s="5">
        <v>11027.12</v>
      </c>
      <c r="AN203" s="5">
        <v>1920.16</v>
      </c>
      <c r="AO203" s="5">
        <v>1.9769230769230768</v>
      </c>
      <c r="AP203" s="5">
        <v>11.86</v>
      </c>
      <c r="AQ203" s="5">
        <v>11.13</v>
      </c>
      <c r="AR203" s="5">
        <v>1.59</v>
      </c>
      <c r="AS203" s="5">
        <v>0.56000000000000005</v>
      </c>
      <c r="AT203" s="5">
        <v>24.04</v>
      </c>
      <c r="AU203" s="5">
        <v>0</v>
      </c>
      <c r="AV203" s="5">
        <v>0</v>
      </c>
      <c r="AW203" s="5">
        <v>5.78</v>
      </c>
      <c r="AX203" s="5">
        <v>9.18</v>
      </c>
      <c r="AY203" s="5">
        <v>0.03</v>
      </c>
      <c r="BB203" s="5">
        <v>34.229999999999997</v>
      </c>
    </row>
    <row r="204" spans="1:54" x14ac:dyDescent="0.3">
      <c r="A204" s="1" t="s">
        <v>14</v>
      </c>
      <c r="B204" s="1" t="s">
        <v>15</v>
      </c>
      <c r="C204" s="1" t="s">
        <v>16</v>
      </c>
      <c r="D204" s="5">
        <v>43.51</v>
      </c>
      <c r="E204" s="5">
        <v>123.51</v>
      </c>
      <c r="F204" s="1" t="s">
        <v>17</v>
      </c>
      <c r="G204" s="5" t="s">
        <v>260</v>
      </c>
      <c r="H204" s="5" t="s">
        <v>261</v>
      </c>
      <c r="I204" s="6">
        <v>7.2136412200052291E-5</v>
      </c>
      <c r="J204" s="3" t="s">
        <v>445</v>
      </c>
      <c r="K204" s="5">
        <v>47.06</v>
      </c>
      <c r="L204" s="5">
        <v>0.18</v>
      </c>
      <c r="M204" s="5">
        <v>10.72</v>
      </c>
      <c r="N204" s="5">
        <v>9.15</v>
      </c>
      <c r="O204" s="5">
        <v>2.42</v>
      </c>
      <c r="P204" s="5">
        <v>1.1100000000000001</v>
      </c>
      <c r="Q204" s="5">
        <v>0</v>
      </c>
      <c r="R204" s="5">
        <v>177</v>
      </c>
      <c r="W204" s="5">
        <v>12.7</v>
      </c>
      <c r="X204" s="5">
        <v>314</v>
      </c>
      <c r="Y204" s="5">
        <v>0</v>
      </c>
      <c r="Z204" s="5">
        <v>1.49</v>
      </c>
      <c r="AA204" s="5">
        <v>0.49</v>
      </c>
      <c r="AB204" s="5">
        <v>23.7</v>
      </c>
      <c r="AC204" s="5">
        <v>1.36</v>
      </c>
      <c r="AD204" s="5">
        <v>13.3</v>
      </c>
      <c r="AE204" s="5">
        <v>28.9</v>
      </c>
      <c r="AH204" s="5">
        <v>1.0900000000000001</v>
      </c>
      <c r="AI204" s="5">
        <v>159</v>
      </c>
      <c r="AJ204" s="5">
        <v>14.1</v>
      </c>
      <c r="AK204" s="5">
        <v>130</v>
      </c>
      <c r="AL204" s="5">
        <v>3.28</v>
      </c>
      <c r="AM204" s="5">
        <v>12165.79</v>
      </c>
      <c r="AN204" s="5">
        <v>1178.28</v>
      </c>
      <c r="AO204" s="5">
        <v>1.2477064220183487</v>
      </c>
      <c r="AP204" s="5">
        <v>9.2200000000000006</v>
      </c>
      <c r="AQ204" s="5">
        <v>15.91</v>
      </c>
      <c r="AR204" s="5">
        <v>1.78</v>
      </c>
      <c r="AS204" s="5">
        <v>0.54</v>
      </c>
      <c r="AT204" s="5">
        <v>20</v>
      </c>
      <c r="AU204" s="5">
        <v>0</v>
      </c>
      <c r="AV204" s="5">
        <v>0</v>
      </c>
      <c r="AW204" s="5">
        <v>6.71</v>
      </c>
      <c r="AX204" s="5">
        <v>11.95</v>
      </c>
      <c r="AY204" s="5">
        <v>0.02</v>
      </c>
      <c r="BB204" s="5">
        <v>21.74</v>
      </c>
    </row>
    <row r="205" spans="1:54" x14ac:dyDescent="0.3">
      <c r="A205" s="1" t="s">
        <v>14</v>
      </c>
      <c r="B205" s="1" t="s">
        <v>15</v>
      </c>
      <c r="C205" s="1" t="s">
        <v>16</v>
      </c>
      <c r="D205" s="5">
        <v>43.51</v>
      </c>
      <c r="E205" s="5">
        <v>123.51</v>
      </c>
      <c r="F205" s="1" t="s">
        <v>17</v>
      </c>
      <c r="G205" s="5" t="s">
        <v>262</v>
      </c>
      <c r="H205" s="5" t="s">
        <v>261</v>
      </c>
      <c r="I205" s="6">
        <v>1.6290878193103708E-5</v>
      </c>
      <c r="J205" s="3" t="s">
        <v>445</v>
      </c>
      <c r="K205" s="5">
        <v>47.01</v>
      </c>
      <c r="L205" s="5">
        <v>0.18</v>
      </c>
      <c r="M205" s="5">
        <v>10.210000000000001</v>
      </c>
      <c r="N205" s="5">
        <v>9.25</v>
      </c>
      <c r="O205" s="5">
        <v>2.35</v>
      </c>
      <c r="P205" s="5">
        <v>1.18</v>
      </c>
      <c r="Q205" s="5">
        <v>0</v>
      </c>
      <c r="R205" s="5">
        <v>190</v>
      </c>
      <c r="W205" s="5">
        <v>13.8</v>
      </c>
      <c r="X205" s="5">
        <v>318</v>
      </c>
      <c r="Y205" s="5">
        <v>0</v>
      </c>
      <c r="Z205" s="5">
        <v>1.62</v>
      </c>
      <c r="AA205" s="5">
        <v>0.5</v>
      </c>
      <c r="AB205" s="5">
        <v>25.4</v>
      </c>
      <c r="AC205" s="5">
        <v>1.36</v>
      </c>
      <c r="AD205" s="5">
        <v>14.1</v>
      </c>
      <c r="AE205" s="5">
        <v>29.8</v>
      </c>
      <c r="AH205" s="5">
        <v>1.1499999999999999</v>
      </c>
      <c r="AI205" s="5">
        <v>165</v>
      </c>
      <c r="AJ205" s="5">
        <v>15</v>
      </c>
      <c r="AK205" s="5">
        <v>138</v>
      </c>
      <c r="AL205" s="5">
        <v>3.34</v>
      </c>
      <c r="AM205" s="5">
        <v>12585.3</v>
      </c>
      <c r="AN205" s="5">
        <v>1221.92</v>
      </c>
      <c r="AO205" s="5">
        <v>1.1826086956521742</v>
      </c>
      <c r="AP205" s="5">
        <v>9.1999999999999993</v>
      </c>
      <c r="AQ205" s="5">
        <v>15.68</v>
      </c>
      <c r="AR205" s="5">
        <v>1.8</v>
      </c>
      <c r="AS205" s="5">
        <v>0.54</v>
      </c>
      <c r="AT205" s="5">
        <v>19.16</v>
      </c>
      <c r="AU205" s="5">
        <v>0</v>
      </c>
      <c r="AV205" s="5">
        <v>0</v>
      </c>
      <c r="AW205" s="5">
        <v>6.5</v>
      </c>
      <c r="AX205" s="5">
        <v>11.7</v>
      </c>
      <c r="AY205" s="5">
        <v>0.02</v>
      </c>
      <c r="BB205" s="5">
        <v>22.09</v>
      </c>
    </row>
    <row r="206" spans="1:54" x14ac:dyDescent="0.3">
      <c r="A206" s="1" t="s">
        <v>14</v>
      </c>
      <c r="B206" s="1" t="s">
        <v>15</v>
      </c>
      <c r="C206" s="1" t="s">
        <v>16</v>
      </c>
      <c r="D206" s="5">
        <v>43.51</v>
      </c>
      <c r="E206" s="5">
        <v>123.51</v>
      </c>
      <c r="F206" s="1" t="s">
        <v>17</v>
      </c>
      <c r="G206" s="5" t="s">
        <v>263</v>
      </c>
      <c r="H206" s="5" t="s">
        <v>261</v>
      </c>
      <c r="I206" s="6">
        <v>5.337611582945101E-5</v>
      </c>
      <c r="J206" s="3" t="s">
        <v>445</v>
      </c>
      <c r="K206" s="5">
        <v>47.01</v>
      </c>
      <c r="L206" s="5">
        <v>0.17</v>
      </c>
      <c r="M206" s="5">
        <v>9.49</v>
      </c>
      <c r="N206" s="5">
        <v>9.18</v>
      </c>
      <c r="O206" s="5">
        <v>2.52</v>
      </c>
      <c r="P206" s="5">
        <v>1.3</v>
      </c>
      <c r="Q206" s="5">
        <v>0</v>
      </c>
      <c r="R206" s="5">
        <v>202</v>
      </c>
      <c r="W206" s="5">
        <v>16.7</v>
      </c>
      <c r="X206" s="5">
        <v>338</v>
      </c>
      <c r="Y206" s="5">
        <v>0</v>
      </c>
      <c r="Z206" s="5">
        <v>1.88</v>
      </c>
      <c r="AA206" s="5">
        <v>0.61</v>
      </c>
      <c r="AB206" s="5">
        <v>28.5</v>
      </c>
      <c r="AC206" s="5">
        <v>1.6</v>
      </c>
      <c r="AD206" s="5">
        <v>16.3</v>
      </c>
      <c r="AE206" s="5">
        <v>34</v>
      </c>
      <c r="AH206" s="5">
        <v>1.29</v>
      </c>
      <c r="AI206" s="5">
        <v>182</v>
      </c>
      <c r="AJ206" s="5">
        <v>17</v>
      </c>
      <c r="AK206" s="5">
        <v>156</v>
      </c>
      <c r="AL206" s="5">
        <v>3.78</v>
      </c>
      <c r="AM206" s="5">
        <v>13664.04</v>
      </c>
      <c r="AN206" s="5">
        <v>1440.12</v>
      </c>
      <c r="AO206" s="5">
        <v>1.2403100775193798</v>
      </c>
      <c r="AP206" s="5">
        <v>9.18</v>
      </c>
      <c r="AQ206" s="5">
        <v>15.16</v>
      </c>
      <c r="AR206" s="5">
        <v>1.75</v>
      </c>
      <c r="AS206" s="5">
        <v>0.59</v>
      </c>
      <c r="AT206" s="5">
        <v>17.98</v>
      </c>
      <c r="AU206" s="5">
        <v>0</v>
      </c>
      <c r="AV206" s="5">
        <v>0</v>
      </c>
      <c r="AW206" s="5">
        <v>6.39</v>
      </c>
      <c r="AX206" s="5">
        <v>11.17</v>
      </c>
      <c r="AY206" s="5">
        <v>0.02</v>
      </c>
      <c r="BB206" s="5">
        <v>22.09</v>
      </c>
    </row>
    <row r="207" spans="1:54" x14ac:dyDescent="0.3">
      <c r="A207" s="1" t="s">
        <v>14</v>
      </c>
      <c r="B207" s="1" t="s">
        <v>15</v>
      </c>
      <c r="C207" s="1" t="s">
        <v>16</v>
      </c>
      <c r="D207" s="5">
        <v>43.51</v>
      </c>
      <c r="E207" s="5">
        <v>123.51</v>
      </c>
      <c r="F207" s="1" t="s">
        <v>17</v>
      </c>
      <c r="G207" s="5" t="s">
        <v>264</v>
      </c>
      <c r="H207" s="5" t="s">
        <v>261</v>
      </c>
      <c r="I207" s="6">
        <v>3.8841404602862888E-5</v>
      </c>
      <c r="J207" s="3" t="s">
        <v>445</v>
      </c>
      <c r="K207" s="5">
        <v>47.01</v>
      </c>
      <c r="L207" s="5">
        <v>0.18</v>
      </c>
      <c r="M207" s="5">
        <v>10.26</v>
      </c>
      <c r="N207" s="5">
        <v>9.19</v>
      </c>
      <c r="O207" s="5">
        <v>2.48</v>
      </c>
      <c r="P207" s="5">
        <v>1.18</v>
      </c>
      <c r="Q207" s="5">
        <v>0</v>
      </c>
      <c r="R207" s="5">
        <v>213</v>
      </c>
      <c r="W207" s="5">
        <v>15.1</v>
      </c>
      <c r="X207" s="5">
        <v>326</v>
      </c>
      <c r="Y207" s="5">
        <v>0</v>
      </c>
      <c r="Z207" s="5">
        <v>1.85</v>
      </c>
      <c r="AA207" s="5">
        <v>0.56999999999999995</v>
      </c>
      <c r="AB207" s="5">
        <v>25.7</v>
      </c>
      <c r="AC207" s="5">
        <v>1.87</v>
      </c>
      <c r="AD207" s="5">
        <v>14.4</v>
      </c>
      <c r="AE207" s="5">
        <v>31.3</v>
      </c>
      <c r="AH207" s="5">
        <v>1.33</v>
      </c>
      <c r="AI207" s="5">
        <v>165</v>
      </c>
      <c r="AJ207" s="5">
        <v>15.8</v>
      </c>
      <c r="AK207" s="5">
        <v>143</v>
      </c>
      <c r="AL207" s="5">
        <v>3.8</v>
      </c>
      <c r="AM207" s="5">
        <v>12884.95</v>
      </c>
      <c r="AN207" s="5">
        <v>1309.2</v>
      </c>
      <c r="AO207" s="5">
        <v>1.4060150375939851</v>
      </c>
      <c r="AP207" s="5">
        <v>9.0500000000000007</v>
      </c>
      <c r="AQ207" s="5">
        <v>13.89</v>
      </c>
      <c r="AR207" s="5">
        <v>1.78</v>
      </c>
      <c r="AS207" s="5">
        <v>0.59</v>
      </c>
      <c r="AT207" s="5">
        <v>18.420000000000002</v>
      </c>
      <c r="AU207" s="5">
        <v>0</v>
      </c>
      <c r="AV207" s="5">
        <v>0</v>
      </c>
      <c r="AW207" s="5">
        <v>6.42</v>
      </c>
      <c r="AX207" s="5">
        <v>11.46</v>
      </c>
      <c r="AY207" s="5">
        <v>0.02</v>
      </c>
      <c r="BB207" s="5">
        <v>19.32</v>
      </c>
    </row>
    <row r="208" spans="1:54" x14ac:dyDescent="0.3">
      <c r="A208" s="1" t="s">
        <v>14</v>
      </c>
      <c r="B208" s="1" t="s">
        <v>15</v>
      </c>
      <c r="C208" s="1" t="s">
        <v>16</v>
      </c>
      <c r="D208" s="5">
        <v>43.51</v>
      </c>
      <c r="E208" s="5">
        <v>123.51</v>
      </c>
      <c r="F208" s="1" t="s">
        <v>17</v>
      </c>
      <c r="G208" s="5" t="s">
        <v>265</v>
      </c>
      <c r="H208" s="5" t="s">
        <v>266</v>
      </c>
      <c r="I208" s="6">
        <v>1.4394767349585891E-3</v>
      </c>
      <c r="J208" s="3" t="s">
        <v>445</v>
      </c>
      <c r="K208" s="5">
        <v>48.7</v>
      </c>
      <c r="L208" s="5">
        <v>0.16</v>
      </c>
      <c r="M208" s="5">
        <v>8.11</v>
      </c>
      <c r="N208" s="5">
        <v>9.3000000000000007</v>
      </c>
      <c r="O208" s="5">
        <v>3.37</v>
      </c>
      <c r="P208" s="5">
        <v>0.73</v>
      </c>
      <c r="Q208" s="5">
        <v>23.4</v>
      </c>
      <c r="R208" s="5">
        <v>205.9</v>
      </c>
      <c r="W208" s="5">
        <v>9.99</v>
      </c>
      <c r="X208" s="5">
        <v>363</v>
      </c>
      <c r="Y208" s="5">
        <v>2.61</v>
      </c>
      <c r="Z208" s="5">
        <v>1.17</v>
      </c>
      <c r="AA208" s="5">
        <v>0.36</v>
      </c>
      <c r="AB208" s="5">
        <v>14.8</v>
      </c>
      <c r="AC208" s="5">
        <v>0.86</v>
      </c>
      <c r="AD208" s="5">
        <v>7.83</v>
      </c>
      <c r="AE208" s="5">
        <v>16.600000000000001</v>
      </c>
      <c r="AH208" s="5">
        <v>1.19</v>
      </c>
      <c r="AI208" s="5">
        <v>123</v>
      </c>
      <c r="AJ208" s="5">
        <v>15.4</v>
      </c>
      <c r="AK208" s="5">
        <v>116</v>
      </c>
      <c r="AL208" s="5">
        <v>3.16</v>
      </c>
      <c r="AM208" s="5">
        <v>11027.12</v>
      </c>
      <c r="AN208" s="5">
        <v>785.52</v>
      </c>
      <c r="AO208" s="5">
        <v>0.72268907563025209</v>
      </c>
      <c r="AP208" s="5">
        <v>7.53</v>
      </c>
      <c r="AQ208" s="5">
        <v>12.65</v>
      </c>
      <c r="AR208" s="5">
        <v>1.89</v>
      </c>
      <c r="AS208" s="5">
        <v>0.68</v>
      </c>
      <c r="AT208" s="5">
        <v>34.25</v>
      </c>
      <c r="AU208" s="5">
        <v>0.18</v>
      </c>
      <c r="AV208" s="5">
        <v>0.25</v>
      </c>
      <c r="AW208" s="5">
        <v>8.31</v>
      </c>
      <c r="AX208" s="5">
        <v>15.71</v>
      </c>
      <c r="AY208" s="5">
        <v>0.02</v>
      </c>
      <c r="BB208" s="5">
        <v>12.44</v>
      </c>
    </row>
    <row r="209" spans="1:54" x14ac:dyDescent="0.3">
      <c r="A209" s="1" t="s">
        <v>14</v>
      </c>
      <c r="B209" s="1" t="s">
        <v>15</v>
      </c>
      <c r="C209" s="1" t="s">
        <v>16</v>
      </c>
      <c r="D209" s="5">
        <v>43.51</v>
      </c>
      <c r="E209" s="5">
        <v>123.51</v>
      </c>
      <c r="F209" s="1" t="s">
        <v>17</v>
      </c>
      <c r="G209" s="5" t="s">
        <v>267</v>
      </c>
      <c r="H209" s="5" t="s">
        <v>266</v>
      </c>
      <c r="I209" s="6">
        <v>1.9960363861173391E-3</v>
      </c>
      <c r="J209" s="3" t="s">
        <v>445</v>
      </c>
      <c r="K209" s="5">
        <v>48.99</v>
      </c>
      <c r="L209" s="5">
        <v>0.16</v>
      </c>
      <c r="M209" s="5">
        <v>8.49</v>
      </c>
      <c r="N209" s="5">
        <v>9.3699999999999992</v>
      </c>
      <c r="O209" s="5">
        <v>3.33</v>
      </c>
      <c r="P209" s="5">
        <v>0.72</v>
      </c>
      <c r="Q209" s="5">
        <v>21.9</v>
      </c>
      <c r="R209" s="5">
        <v>197.1</v>
      </c>
      <c r="W209" s="5">
        <v>9.4</v>
      </c>
      <c r="X209" s="5">
        <v>351</v>
      </c>
      <c r="Y209" s="5">
        <v>1.23</v>
      </c>
      <c r="Z209" s="5">
        <v>1.08</v>
      </c>
      <c r="AA209" s="5">
        <v>0.36</v>
      </c>
      <c r="AB209" s="5">
        <v>14</v>
      </c>
      <c r="AC209" s="5">
        <v>0.83</v>
      </c>
      <c r="AD209" s="5">
        <v>7.48</v>
      </c>
      <c r="AE209" s="5">
        <v>15.9</v>
      </c>
      <c r="AH209" s="5">
        <v>1.1499999999999999</v>
      </c>
      <c r="AI209" s="5">
        <v>113</v>
      </c>
      <c r="AJ209" s="5">
        <v>14.8</v>
      </c>
      <c r="AK209" s="5">
        <v>111</v>
      </c>
      <c r="AL209" s="5">
        <v>2.94</v>
      </c>
      <c r="AM209" s="5">
        <v>10667.54</v>
      </c>
      <c r="AN209" s="5">
        <v>785.52</v>
      </c>
      <c r="AO209" s="5">
        <v>0.72173913043478266</v>
      </c>
      <c r="AP209" s="5">
        <v>7.5</v>
      </c>
      <c r="AQ209" s="5">
        <v>12.96</v>
      </c>
      <c r="AR209" s="5">
        <v>1.87</v>
      </c>
      <c r="AS209" s="5">
        <v>0.67</v>
      </c>
      <c r="AT209" s="5">
        <v>35.17</v>
      </c>
      <c r="AU209" s="5">
        <v>0.09</v>
      </c>
      <c r="AV209" s="5">
        <v>0.12</v>
      </c>
      <c r="AW209" s="5">
        <v>8.07</v>
      </c>
      <c r="AX209" s="5">
        <v>15.11</v>
      </c>
      <c r="AY209" s="5">
        <v>0.03</v>
      </c>
      <c r="BB209" s="5">
        <v>12.17</v>
      </c>
    </row>
    <row r="210" spans="1:54" x14ac:dyDescent="0.3">
      <c r="A210" s="1" t="s">
        <v>14</v>
      </c>
      <c r="B210" s="1" t="s">
        <v>15</v>
      </c>
      <c r="C210" s="1" t="s">
        <v>16</v>
      </c>
      <c r="D210" s="5">
        <v>43.51</v>
      </c>
      <c r="E210" s="5">
        <v>123.51</v>
      </c>
      <c r="F210" s="1" t="s">
        <v>17</v>
      </c>
      <c r="G210" s="5" t="s">
        <v>268</v>
      </c>
      <c r="H210" s="5" t="s">
        <v>269</v>
      </c>
      <c r="I210" s="6">
        <v>1.499293011875125E-5</v>
      </c>
      <c r="J210" s="3" t="s">
        <v>445</v>
      </c>
      <c r="K210" s="5">
        <v>45.61</v>
      </c>
      <c r="L210" s="5">
        <v>0.17</v>
      </c>
      <c r="M210" s="5">
        <v>11.11</v>
      </c>
      <c r="N210" s="5">
        <v>8.0299999999999994</v>
      </c>
      <c r="O210" s="5">
        <v>3.69</v>
      </c>
      <c r="P210" s="5">
        <v>1.92</v>
      </c>
      <c r="Q210" s="5">
        <v>15.9</v>
      </c>
      <c r="R210" s="5">
        <v>174.7</v>
      </c>
      <c r="W210" s="5">
        <v>30.9</v>
      </c>
      <c r="X210" s="5">
        <v>1017</v>
      </c>
      <c r="Y210" s="5">
        <v>4.33</v>
      </c>
      <c r="Z210" s="5">
        <v>5.45</v>
      </c>
      <c r="AA210" s="5">
        <v>1.69</v>
      </c>
      <c r="AB210" s="5">
        <v>61.4</v>
      </c>
      <c r="AC210" s="5">
        <v>3.47</v>
      </c>
      <c r="AD210" s="5">
        <v>44.7</v>
      </c>
      <c r="AE210" s="5">
        <v>87.5</v>
      </c>
      <c r="AH210" s="5">
        <v>1.17</v>
      </c>
      <c r="AI210" s="5">
        <v>386</v>
      </c>
      <c r="AJ210" s="5">
        <v>18.899999999999999</v>
      </c>
      <c r="AK210" s="5">
        <v>272</v>
      </c>
      <c r="AL210" s="5">
        <v>6.56</v>
      </c>
      <c r="AM210" s="5">
        <v>13244.53</v>
      </c>
      <c r="AN210" s="5">
        <v>3011.16</v>
      </c>
      <c r="AO210" s="5">
        <v>2.9658119658119664</v>
      </c>
      <c r="AP210" s="5">
        <v>14.39</v>
      </c>
      <c r="AQ210" s="5">
        <v>11.27</v>
      </c>
      <c r="AR210" s="5">
        <v>1.37</v>
      </c>
      <c r="AS210" s="5">
        <v>0.5</v>
      </c>
      <c r="AT210" s="5">
        <v>25.36</v>
      </c>
      <c r="AU210" s="5">
        <v>7.0000000000000007E-2</v>
      </c>
      <c r="AV210" s="5">
        <v>0.11</v>
      </c>
      <c r="AW210" s="5">
        <v>6.29</v>
      </c>
      <c r="AX210" s="5">
        <v>8.64</v>
      </c>
      <c r="AY210" s="5">
        <v>0.03</v>
      </c>
      <c r="BB210" s="5">
        <v>52.48</v>
      </c>
    </row>
    <row r="211" spans="1:54" x14ac:dyDescent="0.3">
      <c r="A211" s="1" t="s">
        <v>14</v>
      </c>
      <c r="B211" s="1" t="s">
        <v>15</v>
      </c>
      <c r="C211" s="1" t="s">
        <v>16</v>
      </c>
      <c r="D211" s="5">
        <v>43.51</v>
      </c>
      <c r="E211" s="5">
        <v>123.51</v>
      </c>
      <c r="F211" s="1" t="s">
        <v>17</v>
      </c>
      <c r="G211" s="5" t="s">
        <v>270</v>
      </c>
      <c r="H211" s="5" t="s">
        <v>269</v>
      </c>
      <c r="I211" s="6">
        <v>1.4278203707362991E-5</v>
      </c>
      <c r="J211" s="3" t="s">
        <v>445</v>
      </c>
      <c r="K211" s="5">
        <v>46</v>
      </c>
      <c r="L211" s="5">
        <v>0.17</v>
      </c>
      <c r="M211" s="5">
        <v>10.51</v>
      </c>
      <c r="N211" s="5">
        <v>8.1199999999999992</v>
      </c>
      <c r="O211" s="5">
        <v>3.58</v>
      </c>
      <c r="P211" s="5">
        <v>1.94</v>
      </c>
      <c r="Q211" s="5">
        <v>16.5</v>
      </c>
      <c r="R211" s="5">
        <v>171.9</v>
      </c>
      <c r="W211" s="5">
        <v>29.3</v>
      </c>
      <c r="X211" s="5">
        <v>984</v>
      </c>
      <c r="Y211" s="5">
        <v>4.03</v>
      </c>
      <c r="Z211" s="5">
        <v>5.24</v>
      </c>
      <c r="AA211" s="5">
        <v>1.6</v>
      </c>
      <c r="AB211" s="5">
        <v>55.4</v>
      </c>
      <c r="AC211" s="5">
        <v>3.15</v>
      </c>
      <c r="AD211" s="5">
        <v>45</v>
      </c>
      <c r="AE211" s="5">
        <v>87.3</v>
      </c>
      <c r="AH211" s="5">
        <v>1.22</v>
      </c>
      <c r="AI211" s="5">
        <v>350</v>
      </c>
      <c r="AJ211" s="5">
        <v>19.5</v>
      </c>
      <c r="AK211" s="5">
        <v>245</v>
      </c>
      <c r="AL211" s="5">
        <v>6.03</v>
      </c>
      <c r="AM211" s="5">
        <v>12765.09</v>
      </c>
      <c r="AN211" s="5">
        <v>3185.72</v>
      </c>
      <c r="AO211" s="5">
        <v>2.581967213114754</v>
      </c>
      <c r="AP211" s="5">
        <v>12.56</v>
      </c>
      <c r="AQ211" s="5">
        <v>10.57</v>
      </c>
      <c r="AR211" s="5">
        <v>1.23</v>
      </c>
      <c r="AS211" s="5">
        <v>0.53</v>
      </c>
      <c r="AT211" s="5">
        <v>24.6</v>
      </c>
      <c r="AU211" s="5">
        <v>7.0000000000000007E-2</v>
      </c>
      <c r="AV211" s="5">
        <v>0.1</v>
      </c>
      <c r="AW211" s="5">
        <v>6.32</v>
      </c>
      <c r="AX211" s="5">
        <v>7.78</v>
      </c>
      <c r="AY211" s="5">
        <v>0.03</v>
      </c>
      <c r="BB211" s="5">
        <v>45.41</v>
      </c>
    </row>
    <row r="212" spans="1:54" x14ac:dyDescent="0.3">
      <c r="A212" s="1" t="s">
        <v>14</v>
      </c>
      <c r="B212" s="1" t="s">
        <v>15</v>
      </c>
      <c r="C212" s="1" t="s">
        <v>16</v>
      </c>
      <c r="D212" s="5">
        <v>43.5</v>
      </c>
      <c r="E212" s="5">
        <v>123.5</v>
      </c>
      <c r="F212" s="1" t="s">
        <v>17</v>
      </c>
      <c r="G212" s="5" t="s">
        <v>271</v>
      </c>
      <c r="H212" s="5" t="s">
        <v>272</v>
      </c>
      <c r="I212" s="6">
        <v>5.4672447731718421E-4</v>
      </c>
      <c r="J212" s="3" t="s">
        <v>445</v>
      </c>
      <c r="K212" s="5">
        <v>47.64</v>
      </c>
      <c r="L212" s="5">
        <v>0.18</v>
      </c>
      <c r="M212" s="5">
        <v>8.2799999999999994</v>
      </c>
      <c r="N212" s="5">
        <v>9.06</v>
      </c>
      <c r="O212" s="5">
        <v>3.77</v>
      </c>
      <c r="P212" s="5">
        <v>1.39</v>
      </c>
      <c r="Q212" s="5">
        <v>21.6</v>
      </c>
      <c r="R212" s="5">
        <v>199.5</v>
      </c>
      <c r="W212" s="5">
        <v>23</v>
      </c>
      <c r="X212" s="5">
        <v>714</v>
      </c>
      <c r="Y212" s="5">
        <v>2.69</v>
      </c>
      <c r="Z212" s="5">
        <v>2.85</v>
      </c>
      <c r="AA212" s="5">
        <v>0.84</v>
      </c>
      <c r="AB212" s="5">
        <v>33.9</v>
      </c>
      <c r="AC212" s="5">
        <v>1.87</v>
      </c>
      <c r="AD212" s="5">
        <v>24.5</v>
      </c>
      <c r="AE212" s="5">
        <v>47.4</v>
      </c>
      <c r="AH212" s="5">
        <v>1.42</v>
      </c>
      <c r="AI212" s="5">
        <v>262</v>
      </c>
      <c r="AJ212" s="5">
        <v>18.600000000000001</v>
      </c>
      <c r="AK212" s="5">
        <v>176</v>
      </c>
      <c r="AL212" s="5">
        <v>4.38</v>
      </c>
      <c r="AM212" s="5">
        <v>12225.72</v>
      </c>
      <c r="AN212" s="5">
        <v>1745.6</v>
      </c>
      <c r="AO212" s="5">
        <v>1.3169014084507045</v>
      </c>
      <c r="AP212" s="5">
        <v>9.4600000000000009</v>
      </c>
      <c r="AQ212" s="5">
        <v>11.89</v>
      </c>
      <c r="AR212" s="5">
        <v>1.38</v>
      </c>
      <c r="AS212" s="5">
        <v>0.68</v>
      </c>
      <c r="AT212" s="5">
        <v>29.63</v>
      </c>
      <c r="AU212" s="5">
        <v>0.08</v>
      </c>
      <c r="AV212" s="5">
        <v>0.11</v>
      </c>
      <c r="AW212" s="5">
        <v>7.73</v>
      </c>
      <c r="AX212" s="5">
        <v>10.69</v>
      </c>
      <c r="AY212" s="5">
        <v>0.02</v>
      </c>
      <c r="BB212" s="5">
        <v>23.87</v>
      </c>
    </row>
    <row r="213" spans="1:54" x14ac:dyDescent="0.3">
      <c r="A213" s="1" t="s">
        <v>14</v>
      </c>
      <c r="B213" s="1" t="s">
        <v>15</v>
      </c>
      <c r="C213" s="1" t="s">
        <v>16</v>
      </c>
      <c r="D213" s="5">
        <v>43.5</v>
      </c>
      <c r="E213" s="5">
        <v>123.5</v>
      </c>
      <c r="F213" s="1" t="s">
        <v>17</v>
      </c>
      <c r="G213" s="5" t="s">
        <v>273</v>
      </c>
      <c r="H213" s="5" t="s">
        <v>272</v>
      </c>
      <c r="I213" s="6">
        <v>1.7040611710399389E-3</v>
      </c>
      <c r="J213" s="3" t="s">
        <v>445</v>
      </c>
      <c r="K213" s="5">
        <v>47.62</v>
      </c>
      <c r="L213" s="5">
        <v>0.17</v>
      </c>
      <c r="M213" s="5">
        <v>7.71</v>
      </c>
      <c r="N213" s="5">
        <v>9.1300000000000008</v>
      </c>
      <c r="O213" s="5">
        <v>3.85</v>
      </c>
      <c r="P213" s="5">
        <v>1.42</v>
      </c>
      <c r="Q213" s="5">
        <v>22.6</v>
      </c>
      <c r="R213" s="5">
        <v>205.6</v>
      </c>
      <c r="W213" s="5">
        <v>23.4</v>
      </c>
      <c r="X213" s="5">
        <v>739</v>
      </c>
      <c r="Y213" s="5">
        <v>2.95</v>
      </c>
      <c r="Z213" s="5">
        <v>3.05</v>
      </c>
      <c r="AA213" s="5">
        <v>0.92</v>
      </c>
      <c r="AB213" s="5">
        <v>35.4</v>
      </c>
      <c r="AC213" s="5">
        <v>2.0099999999999998</v>
      </c>
      <c r="AD213" s="5">
        <v>27.4</v>
      </c>
      <c r="AE213" s="5">
        <v>53</v>
      </c>
      <c r="AH213" s="5">
        <v>1.53</v>
      </c>
      <c r="AI213" s="5">
        <v>270</v>
      </c>
      <c r="AJ213" s="5">
        <v>20.100000000000001</v>
      </c>
      <c r="AK213" s="5">
        <v>184</v>
      </c>
      <c r="AL213" s="5">
        <v>4.71</v>
      </c>
      <c r="AM213" s="5">
        <v>12345.58</v>
      </c>
      <c r="AN213" s="5">
        <v>1920.16</v>
      </c>
      <c r="AO213" s="5">
        <v>1.3137254901960782</v>
      </c>
      <c r="AP213" s="5">
        <v>9.15</v>
      </c>
      <c r="AQ213" s="5">
        <v>11.61</v>
      </c>
      <c r="AR213" s="5">
        <v>1.29</v>
      </c>
      <c r="AS213" s="5">
        <v>0.66</v>
      </c>
      <c r="AT213" s="5">
        <v>27.47</v>
      </c>
      <c r="AU213" s="5">
        <v>0.08</v>
      </c>
      <c r="AV213" s="5">
        <v>0.11</v>
      </c>
      <c r="AW213" s="5">
        <v>7.63</v>
      </c>
      <c r="AX213" s="5">
        <v>9.85</v>
      </c>
      <c r="AY213" s="5">
        <v>0.03</v>
      </c>
      <c r="BB213" s="5">
        <v>23.14</v>
      </c>
    </row>
    <row r="214" spans="1:54" x14ac:dyDescent="0.3">
      <c r="A214" s="1" t="s">
        <v>14</v>
      </c>
      <c r="B214" s="1" t="s">
        <v>15</v>
      </c>
      <c r="C214" s="1" t="s">
        <v>16</v>
      </c>
      <c r="D214" s="5">
        <v>43.5</v>
      </c>
      <c r="E214" s="5">
        <v>123.5</v>
      </c>
      <c r="F214" s="1" t="s">
        <v>17</v>
      </c>
      <c r="G214" s="5" t="s">
        <v>274</v>
      </c>
      <c r="H214" s="5" t="s">
        <v>272</v>
      </c>
      <c r="I214" s="6">
        <v>8.3334505325183272E-4</v>
      </c>
      <c r="J214" s="3" t="s">
        <v>445</v>
      </c>
      <c r="K214" s="5">
        <v>47.73</v>
      </c>
      <c r="L214" s="5">
        <v>0.17</v>
      </c>
      <c r="M214" s="5">
        <v>8.1199999999999992</v>
      </c>
      <c r="N214" s="5">
        <v>9.26</v>
      </c>
      <c r="O214" s="5">
        <v>3.64</v>
      </c>
      <c r="P214" s="5">
        <v>1.42</v>
      </c>
      <c r="Q214" s="5">
        <v>0</v>
      </c>
      <c r="R214" s="5">
        <v>186</v>
      </c>
      <c r="W214" s="5">
        <v>22.7</v>
      </c>
      <c r="X214" s="5">
        <v>738</v>
      </c>
      <c r="Y214" s="5">
        <v>0</v>
      </c>
      <c r="Z214" s="5">
        <v>2.89</v>
      </c>
      <c r="AA214" s="5">
        <v>0.89</v>
      </c>
      <c r="AB214" s="5">
        <v>35</v>
      </c>
      <c r="AC214" s="5">
        <v>1.87</v>
      </c>
      <c r="AD214" s="5">
        <v>23.8</v>
      </c>
      <c r="AE214" s="5">
        <v>46.3</v>
      </c>
      <c r="AH214" s="5">
        <v>1.35</v>
      </c>
      <c r="AI214" s="5">
        <v>273</v>
      </c>
      <c r="AJ214" s="5">
        <v>18.100000000000001</v>
      </c>
      <c r="AK214" s="5">
        <v>165</v>
      </c>
      <c r="AL214" s="5">
        <v>4.0199999999999996</v>
      </c>
      <c r="AM214" s="5">
        <v>12285.65</v>
      </c>
      <c r="AN214" s="5">
        <v>1658.32</v>
      </c>
      <c r="AO214" s="5">
        <v>1.3851851851851851</v>
      </c>
      <c r="AP214" s="5">
        <v>9.1199999999999992</v>
      </c>
      <c r="AQ214" s="5">
        <v>12.11</v>
      </c>
      <c r="AR214" s="5">
        <v>1.47</v>
      </c>
      <c r="AS214" s="5">
        <v>0.65</v>
      </c>
      <c r="AT214" s="5">
        <v>31.01</v>
      </c>
      <c r="AU214" s="5">
        <v>0</v>
      </c>
      <c r="AV214" s="5">
        <v>0</v>
      </c>
      <c r="AW214" s="5">
        <v>7.8</v>
      </c>
      <c r="AX214" s="5">
        <v>11.47</v>
      </c>
      <c r="AY214" s="5">
        <v>0.03</v>
      </c>
      <c r="BB214" s="5">
        <v>25.93</v>
      </c>
    </row>
    <row r="215" spans="1:54" x14ac:dyDescent="0.3">
      <c r="A215" s="1" t="s">
        <v>14</v>
      </c>
      <c r="B215" s="1" t="s">
        <v>15</v>
      </c>
      <c r="C215" s="1" t="s">
        <v>16</v>
      </c>
      <c r="D215" s="5">
        <v>43.5</v>
      </c>
      <c r="E215" s="5">
        <v>123.5</v>
      </c>
      <c r="F215" s="1" t="s">
        <v>17</v>
      </c>
      <c r="G215" s="5" t="s">
        <v>275</v>
      </c>
      <c r="H215" s="5" t="s">
        <v>272</v>
      </c>
      <c r="I215" s="6">
        <v>1.7538615793455389E-4</v>
      </c>
      <c r="J215" s="3" t="s">
        <v>445</v>
      </c>
      <c r="K215" s="5">
        <v>47.39</v>
      </c>
      <c r="L215" s="5">
        <v>0.18</v>
      </c>
      <c r="M215" s="5">
        <v>8.7899999999999991</v>
      </c>
      <c r="N215" s="5">
        <v>9.2200000000000006</v>
      </c>
      <c r="O215" s="5">
        <v>3.72</v>
      </c>
      <c r="P215" s="5">
        <v>1.25</v>
      </c>
      <c r="Q215" s="5">
        <v>0</v>
      </c>
      <c r="R215" s="5">
        <v>171</v>
      </c>
      <c r="W215" s="5">
        <v>21.1</v>
      </c>
      <c r="X215" s="5">
        <v>714</v>
      </c>
      <c r="Y215" s="5">
        <v>0</v>
      </c>
      <c r="Z215" s="5">
        <v>2.6</v>
      </c>
      <c r="AA215" s="5">
        <v>0.86</v>
      </c>
      <c r="AB215" s="5">
        <v>32.200000000000003</v>
      </c>
      <c r="AC215" s="5">
        <v>1.72</v>
      </c>
      <c r="AD215" s="5">
        <v>24.3</v>
      </c>
      <c r="AE215" s="5">
        <v>47.5</v>
      </c>
      <c r="AH215" s="5">
        <v>1.41</v>
      </c>
      <c r="AI215" s="5">
        <v>241</v>
      </c>
      <c r="AJ215" s="5">
        <v>19.899999999999999</v>
      </c>
      <c r="AK215" s="5">
        <v>168</v>
      </c>
      <c r="AL215" s="5">
        <v>4.29</v>
      </c>
      <c r="AM215" s="5">
        <v>11506.56</v>
      </c>
      <c r="AN215" s="5">
        <v>1745.6</v>
      </c>
      <c r="AO215" s="5">
        <v>1.2198581560283688</v>
      </c>
      <c r="AP215" s="5">
        <v>8.44</v>
      </c>
      <c r="AQ215" s="5">
        <v>12.38</v>
      </c>
      <c r="AR215" s="5">
        <v>1.33</v>
      </c>
      <c r="AS215" s="5">
        <v>0.66</v>
      </c>
      <c r="AT215" s="5">
        <v>30</v>
      </c>
      <c r="AU215" s="5">
        <v>0</v>
      </c>
      <c r="AV215" s="5">
        <v>0</v>
      </c>
      <c r="AW215" s="5">
        <v>7.48</v>
      </c>
      <c r="AX215" s="5">
        <v>9.92</v>
      </c>
      <c r="AY215" s="5">
        <v>0.03</v>
      </c>
      <c r="BB215" s="5">
        <v>22.84</v>
      </c>
    </row>
    <row r="216" spans="1:54" x14ac:dyDescent="0.3">
      <c r="A216" s="1" t="s">
        <v>14</v>
      </c>
      <c r="B216" s="1" t="s">
        <v>15</v>
      </c>
      <c r="C216" s="1" t="s">
        <v>16</v>
      </c>
      <c r="D216" s="5">
        <v>43.51</v>
      </c>
      <c r="E216" s="5">
        <v>123.51</v>
      </c>
      <c r="F216" s="1" t="s">
        <v>17</v>
      </c>
      <c r="G216" s="5" t="s">
        <v>276</v>
      </c>
      <c r="H216" s="5" t="s">
        <v>277</v>
      </c>
      <c r="I216" s="6">
        <v>2.1160160486033419E-6</v>
      </c>
      <c r="J216" s="3" t="s">
        <v>445</v>
      </c>
      <c r="K216" s="5">
        <v>46.25</v>
      </c>
      <c r="L216" s="5">
        <v>0.18</v>
      </c>
      <c r="M216" s="5">
        <v>11.08</v>
      </c>
      <c r="N216" s="5">
        <v>7.93</v>
      </c>
      <c r="O216" s="5">
        <v>2.66</v>
      </c>
      <c r="P216" s="5">
        <v>2.0499999999999998</v>
      </c>
      <c r="Q216" s="5">
        <v>0</v>
      </c>
      <c r="R216" s="5">
        <v>153</v>
      </c>
      <c r="W216" s="5">
        <v>31.8</v>
      </c>
      <c r="X216" s="5">
        <v>915</v>
      </c>
      <c r="Y216" s="5">
        <v>0</v>
      </c>
      <c r="Z216" s="5">
        <v>5.54</v>
      </c>
      <c r="AA216" s="5">
        <v>1.72</v>
      </c>
      <c r="AB216" s="5">
        <v>64.400000000000006</v>
      </c>
      <c r="AC216" s="5">
        <v>3.77</v>
      </c>
      <c r="AD216" s="5">
        <v>43.5</v>
      </c>
      <c r="AE216" s="5">
        <v>85.1</v>
      </c>
      <c r="AH216" s="5">
        <v>1.17</v>
      </c>
      <c r="AI216" s="5">
        <v>358</v>
      </c>
      <c r="AJ216" s="5">
        <v>18.899999999999999</v>
      </c>
      <c r="AK216" s="5">
        <v>255</v>
      </c>
      <c r="AL216" s="5">
        <v>6.29</v>
      </c>
      <c r="AM216" s="5">
        <v>13664.04</v>
      </c>
      <c r="AN216" s="5">
        <v>3098.44</v>
      </c>
      <c r="AO216" s="5">
        <v>3.2222222222222223</v>
      </c>
      <c r="AP216" s="5">
        <v>13.49</v>
      </c>
      <c r="AQ216" s="5">
        <v>11.62</v>
      </c>
      <c r="AR216" s="5">
        <v>1.48</v>
      </c>
      <c r="AS216" s="5">
        <v>0.49</v>
      </c>
      <c r="AT216" s="5">
        <v>22.1</v>
      </c>
      <c r="AU216" s="5">
        <v>0</v>
      </c>
      <c r="AV216" s="5">
        <v>0</v>
      </c>
      <c r="AW216" s="5">
        <v>5.56</v>
      </c>
      <c r="AX216" s="5">
        <v>8.23</v>
      </c>
      <c r="AY216" s="5">
        <v>0.03</v>
      </c>
      <c r="BB216" s="5">
        <v>55.04</v>
      </c>
    </row>
    <row r="217" spans="1:54" x14ac:dyDescent="0.3">
      <c r="A217" s="1" t="s">
        <v>14</v>
      </c>
      <c r="B217" s="1" t="s">
        <v>15</v>
      </c>
      <c r="C217" s="1" t="s">
        <v>16</v>
      </c>
      <c r="D217" s="5">
        <v>43.51</v>
      </c>
      <c r="E217" s="5">
        <v>123.51</v>
      </c>
      <c r="F217" s="1" t="s">
        <v>17</v>
      </c>
      <c r="G217" s="5" t="s">
        <v>278</v>
      </c>
      <c r="H217" s="5" t="s">
        <v>277</v>
      </c>
      <c r="I217" s="6">
        <v>1.6966004068308389E-6</v>
      </c>
      <c r="J217" s="3" t="s">
        <v>445</v>
      </c>
      <c r="K217" s="5">
        <v>45.3</v>
      </c>
      <c r="L217" s="5">
        <v>0.18</v>
      </c>
      <c r="M217" s="5">
        <v>11.67</v>
      </c>
      <c r="N217" s="5">
        <v>7.79</v>
      </c>
      <c r="O217" s="5">
        <v>2.86</v>
      </c>
      <c r="P217" s="5">
        <v>2.1</v>
      </c>
      <c r="Q217" s="5">
        <v>0</v>
      </c>
      <c r="R217" s="5">
        <v>154</v>
      </c>
      <c r="W217" s="5">
        <v>28.5</v>
      </c>
      <c r="X217" s="5">
        <v>884</v>
      </c>
      <c r="Y217" s="5">
        <v>0</v>
      </c>
      <c r="Z217" s="5">
        <v>5.47</v>
      </c>
      <c r="AA217" s="5">
        <v>1.61</v>
      </c>
      <c r="AB217" s="5">
        <v>66</v>
      </c>
      <c r="AC217" s="5">
        <v>3.77</v>
      </c>
      <c r="AD217" s="5">
        <v>43.1</v>
      </c>
      <c r="AE217" s="5">
        <v>85.1</v>
      </c>
      <c r="AH217" s="5">
        <v>1.1200000000000001</v>
      </c>
      <c r="AI217" s="5">
        <v>335</v>
      </c>
      <c r="AJ217" s="5">
        <v>18.2</v>
      </c>
      <c r="AK217" s="5">
        <v>254</v>
      </c>
      <c r="AL217" s="5">
        <v>6.43</v>
      </c>
      <c r="AM217" s="5">
        <v>13963.69</v>
      </c>
      <c r="AN217" s="5">
        <v>3185.72</v>
      </c>
      <c r="AO217" s="5">
        <v>3.3660714285714284</v>
      </c>
      <c r="AP217" s="5">
        <v>13.96</v>
      </c>
      <c r="AQ217" s="5">
        <v>12.07</v>
      </c>
      <c r="AR217" s="5">
        <v>1.53</v>
      </c>
      <c r="AS217" s="5">
        <v>0.43</v>
      </c>
      <c r="AT217" s="5">
        <v>21.99</v>
      </c>
      <c r="AU217" s="5">
        <v>0</v>
      </c>
      <c r="AV217" s="5">
        <v>0</v>
      </c>
      <c r="AW217" s="5">
        <v>5.08</v>
      </c>
      <c r="AX217" s="5">
        <v>7.77</v>
      </c>
      <c r="AY217" s="5">
        <v>0.02</v>
      </c>
      <c r="BB217" s="5">
        <v>58.93</v>
      </c>
    </row>
    <row r="218" spans="1:54" x14ac:dyDescent="0.3">
      <c r="A218" s="1" t="s">
        <v>14</v>
      </c>
      <c r="B218" s="1" t="s">
        <v>15</v>
      </c>
      <c r="C218" s="1" t="s">
        <v>16</v>
      </c>
      <c r="D218" s="5">
        <v>43.5</v>
      </c>
      <c r="E218" s="5">
        <v>123.5</v>
      </c>
      <c r="F218" s="1" t="s">
        <v>17</v>
      </c>
      <c r="G218" s="5" t="s">
        <v>279</v>
      </c>
      <c r="H218" s="5" t="s">
        <v>257</v>
      </c>
      <c r="I218" s="6">
        <v>5.9331927332095802E-5</v>
      </c>
      <c r="J218" s="3" t="s">
        <v>445</v>
      </c>
      <c r="K218" s="5">
        <v>47.4</v>
      </c>
      <c r="L218" s="5">
        <v>0.19</v>
      </c>
      <c r="M218" s="5">
        <v>9.32</v>
      </c>
      <c r="N218" s="5">
        <v>9.11</v>
      </c>
      <c r="O218" s="5">
        <v>2.88</v>
      </c>
      <c r="P218" s="5">
        <v>1.1399999999999999</v>
      </c>
      <c r="Q218" s="5">
        <v>0</v>
      </c>
      <c r="R218" s="5">
        <v>161</v>
      </c>
      <c r="W218" s="5">
        <v>17.600000000000001</v>
      </c>
      <c r="X218" s="5">
        <v>599</v>
      </c>
      <c r="Y218" s="5">
        <v>0</v>
      </c>
      <c r="Z218" s="5">
        <v>2.75</v>
      </c>
      <c r="AA218" s="5">
        <v>0.78</v>
      </c>
      <c r="AB218" s="5">
        <v>32.799999999999997</v>
      </c>
      <c r="AC218" s="5">
        <v>1.73</v>
      </c>
      <c r="AD218" s="5">
        <v>26</v>
      </c>
      <c r="AE218" s="5">
        <v>52.5</v>
      </c>
      <c r="AH218" s="5">
        <v>1.41</v>
      </c>
      <c r="AI218" s="5">
        <v>200</v>
      </c>
      <c r="AJ218" s="5">
        <v>17.899999999999999</v>
      </c>
      <c r="AK218" s="5">
        <v>143</v>
      </c>
      <c r="AL218" s="5">
        <v>3.5</v>
      </c>
      <c r="AM218" s="5">
        <v>10847.33</v>
      </c>
      <c r="AN218" s="5">
        <v>1963.8</v>
      </c>
      <c r="AO218" s="5">
        <v>1.2269503546099292</v>
      </c>
      <c r="AP218" s="5">
        <v>7.99</v>
      </c>
      <c r="AQ218" s="5">
        <v>11.93</v>
      </c>
      <c r="AR218" s="5">
        <v>1.26</v>
      </c>
      <c r="AS218" s="5">
        <v>0.54</v>
      </c>
      <c r="AT218" s="5">
        <v>23.22</v>
      </c>
      <c r="AU218" s="5">
        <v>0</v>
      </c>
      <c r="AV218" s="5">
        <v>0</v>
      </c>
      <c r="AW218" s="5">
        <v>6.1</v>
      </c>
      <c r="AX218" s="5">
        <v>7.69</v>
      </c>
      <c r="AY218" s="5">
        <v>0.02</v>
      </c>
      <c r="BB218" s="5">
        <v>23.26</v>
      </c>
    </row>
    <row r="219" spans="1:54" x14ac:dyDescent="0.3">
      <c r="A219" s="1" t="s">
        <v>14</v>
      </c>
      <c r="B219" s="1" t="s">
        <v>15</v>
      </c>
      <c r="C219" s="1" t="s">
        <v>16</v>
      </c>
      <c r="D219" s="5">
        <v>43.5</v>
      </c>
      <c r="E219" s="5">
        <v>123.5</v>
      </c>
      <c r="F219" s="1" t="s">
        <v>17</v>
      </c>
      <c r="G219" s="5" t="s">
        <v>280</v>
      </c>
      <c r="H219" s="5" t="s">
        <v>257</v>
      </c>
      <c r="I219" s="6">
        <v>9.2841146397404373E-5</v>
      </c>
      <c r="J219" s="3" t="s">
        <v>445</v>
      </c>
      <c r="K219" s="5">
        <v>47.01</v>
      </c>
      <c r="L219" s="5">
        <v>0.19</v>
      </c>
      <c r="M219" s="5">
        <v>9.39</v>
      </c>
      <c r="N219" s="5">
        <v>9.1199999999999992</v>
      </c>
      <c r="O219" s="5">
        <v>2.75</v>
      </c>
      <c r="P219" s="5">
        <v>1.27</v>
      </c>
      <c r="Q219" s="5">
        <v>0</v>
      </c>
      <c r="R219" s="5">
        <v>195</v>
      </c>
      <c r="W219" s="5">
        <v>20.5</v>
      </c>
      <c r="X219" s="5">
        <v>335</v>
      </c>
      <c r="Y219" s="5">
        <v>0</v>
      </c>
      <c r="Z219" s="5">
        <v>2.95</v>
      </c>
      <c r="AA219" s="5">
        <v>0.89</v>
      </c>
      <c r="AB219" s="5">
        <v>34</v>
      </c>
      <c r="AC219" s="5">
        <v>2.0499999999999998</v>
      </c>
      <c r="AD219" s="5">
        <v>19.8</v>
      </c>
      <c r="AE219" s="5">
        <v>39.6</v>
      </c>
      <c r="AH219" s="5">
        <v>1.52</v>
      </c>
      <c r="AI219" s="5">
        <v>213</v>
      </c>
      <c r="AJ219" s="5">
        <v>17.600000000000001</v>
      </c>
      <c r="AK219" s="5">
        <v>155</v>
      </c>
      <c r="AL219" s="5">
        <v>4</v>
      </c>
      <c r="AM219" s="5">
        <v>12165.79</v>
      </c>
      <c r="AN219" s="5">
        <v>1440.12</v>
      </c>
      <c r="AO219" s="5">
        <v>1.3486842105263157</v>
      </c>
      <c r="AP219" s="5">
        <v>8.81</v>
      </c>
      <c r="AQ219" s="5">
        <v>11.53</v>
      </c>
      <c r="AR219" s="5">
        <v>1.72</v>
      </c>
      <c r="AS219" s="5">
        <v>0.6</v>
      </c>
      <c r="AT219" s="5">
        <v>16.03</v>
      </c>
      <c r="AU219" s="5">
        <v>0</v>
      </c>
      <c r="AV219" s="5">
        <v>0</v>
      </c>
      <c r="AW219" s="5">
        <v>6.26</v>
      </c>
      <c r="AX219" s="5">
        <v>10.76</v>
      </c>
      <c r="AY219" s="5">
        <v>0.03</v>
      </c>
      <c r="BB219" s="5">
        <v>22.37</v>
      </c>
    </row>
    <row r="220" spans="1:54" x14ac:dyDescent="0.3">
      <c r="A220" s="1" t="s">
        <v>14</v>
      </c>
      <c r="B220" s="1" t="s">
        <v>15</v>
      </c>
      <c r="C220" s="1" t="s">
        <v>16</v>
      </c>
      <c r="D220" s="5">
        <v>42.3384</v>
      </c>
      <c r="E220" s="5">
        <v>118.68429999999999</v>
      </c>
      <c r="F220" s="1" t="s">
        <v>17</v>
      </c>
      <c r="G220" s="5" t="s">
        <v>281</v>
      </c>
      <c r="H220" s="5" t="s">
        <v>282</v>
      </c>
      <c r="I220" s="6">
        <v>1.304494799114764E-3</v>
      </c>
      <c r="J220" s="3" t="s">
        <v>445</v>
      </c>
      <c r="K220" s="5">
        <v>51.8841999183784</v>
      </c>
      <c r="L220" s="5">
        <v>0.145512138755194</v>
      </c>
      <c r="M220" s="5">
        <v>7.4555807571288488</v>
      </c>
      <c r="N220" s="5">
        <v>7.9083079591902097</v>
      </c>
      <c r="O220" s="5">
        <v>3.1872974503209202</v>
      </c>
      <c r="P220" s="5">
        <v>1.1738598145294199</v>
      </c>
      <c r="Q220" s="5">
        <v>18.257999999999999</v>
      </c>
      <c r="R220" s="5">
        <v>185.58</v>
      </c>
      <c r="W220" s="5">
        <v>16</v>
      </c>
      <c r="X220" s="5">
        <v>421.6</v>
      </c>
      <c r="Y220" s="5">
        <v>0</v>
      </c>
      <c r="Z220" s="5">
        <v>2.23</v>
      </c>
      <c r="AA220" s="5">
        <v>0.55000000000000004</v>
      </c>
      <c r="AB220" s="5">
        <v>30.24</v>
      </c>
      <c r="AC220" s="5">
        <v>1.77</v>
      </c>
      <c r="AD220" s="5">
        <v>19.59</v>
      </c>
      <c r="AE220" s="5">
        <v>39.700000000000003</v>
      </c>
      <c r="AH220" s="5">
        <v>1.6604000000000001</v>
      </c>
      <c r="AI220" s="5">
        <v>290.60000000000002</v>
      </c>
      <c r="AJ220" s="5">
        <v>20.16</v>
      </c>
      <c r="AK220" s="5">
        <v>183.86</v>
      </c>
      <c r="AL220" s="5">
        <v>4.3472</v>
      </c>
      <c r="AM220" s="5">
        <v>11382.13</v>
      </c>
      <c r="AN220" s="5">
        <v>1587.93</v>
      </c>
      <c r="AO220" s="5">
        <v>1.0660081907973982</v>
      </c>
      <c r="AP220" s="5">
        <v>9.1199999999999992</v>
      </c>
      <c r="AQ220" s="5">
        <v>13.58</v>
      </c>
      <c r="AR220" s="5">
        <v>1.54</v>
      </c>
      <c r="AS220" s="5">
        <v>0.53</v>
      </c>
      <c r="AT220" s="5">
        <v>19.66</v>
      </c>
      <c r="AU220" s="5">
        <v>0</v>
      </c>
      <c r="AV220" s="5">
        <v>0</v>
      </c>
      <c r="AW220" s="5">
        <v>9.61</v>
      </c>
      <c r="AX220" s="5">
        <v>14.83</v>
      </c>
      <c r="AY220" s="5">
        <v>0.02</v>
      </c>
      <c r="BB220" s="5">
        <v>18.21</v>
      </c>
    </row>
    <row r="221" spans="1:54" x14ac:dyDescent="0.3">
      <c r="A221" s="1" t="s">
        <v>14</v>
      </c>
      <c r="B221" s="1" t="s">
        <v>15</v>
      </c>
      <c r="C221" s="1" t="s">
        <v>16</v>
      </c>
      <c r="D221" s="5">
        <v>43.238999999999997</v>
      </c>
      <c r="E221" s="5">
        <v>118.1386</v>
      </c>
      <c r="F221" s="1" t="s">
        <v>17</v>
      </c>
      <c r="G221" s="5" t="s">
        <v>283</v>
      </c>
      <c r="H221" s="5" t="s">
        <v>282</v>
      </c>
      <c r="I221" s="6">
        <v>3.2362710044253618E-5</v>
      </c>
      <c r="J221" s="3" t="s">
        <v>445</v>
      </c>
      <c r="K221" s="5">
        <v>47.848777076030387</v>
      </c>
      <c r="L221" s="5">
        <v>0.17920763579667001</v>
      </c>
      <c r="M221" s="5">
        <v>7.9488635321319201</v>
      </c>
      <c r="N221" s="5">
        <v>9.6106236711036193</v>
      </c>
      <c r="O221" s="5">
        <v>3.2938352948369798</v>
      </c>
      <c r="P221" s="5">
        <v>1.2750455411433901</v>
      </c>
      <c r="Q221" s="5">
        <v>19.648</v>
      </c>
      <c r="R221" s="5">
        <v>198.6</v>
      </c>
      <c r="W221" s="5">
        <v>20.88</v>
      </c>
      <c r="X221" s="5">
        <v>452.6</v>
      </c>
      <c r="Y221" s="5">
        <v>0</v>
      </c>
      <c r="Z221" s="5">
        <v>2.42</v>
      </c>
      <c r="AA221" s="5">
        <v>0.69</v>
      </c>
      <c r="AB221" s="5">
        <v>39.159999999999997</v>
      </c>
      <c r="AC221" s="5">
        <v>2.46</v>
      </c>
      <c r="AD221" s="5">
        <v>21.54</v>
      </c>
      <c r="AE221" s="5">
        <v>43.42</v>
      </c>
      <c r="AH221" s="5">
        <v>1.3872</v>
      </c>
      <c r="AI221" s="5">
        <v>308</v>
      </c>
      <c r="AJ221" s="5">
        <v>21.22</v>
      </c>
      <c r="AK221" s="5">
        <v>194.96</v>
      </c>
      <c r="AL221" s="5">
        <v>4.4175000000000004</v>
      </c>
      <c r="AM221" s="5">
        <v>12916.1</v>
      </c>
      <c r="AN221" s="5">
        <v>1838.28</v>
      </c>
      <c r="AO221" s="5">
        <v>1.773356401384083</v>
      </c>
      <c r="AP221" s="5">
        <v>9.19</v>
      </c>
      <c r="AQ221" s="5">
        <v>16.18</v>
      </c>
      <c r="AR221" s="5">
        <v>1.82</v>
      </c>
      <c r="AS221" s="5">
        <v>0.53</v>
      </c>
      <c r="AT221" s="5">
        <v>20.170000000000002</v>
      </c>
      <c r="AU221" s="5">
        <v>0</v>
      </c>
      <c r="AV221" s="5">
        <v>0</v>
      </c>
      <c r="AW221" s="5">
        <v>7.87</v>
      </c>
      <c r="AX221" s="5">
        <v>14.3</v>
      </c>
      <c r="AY221" s="5">
        <v>0.02</v>
      </c>
      <c r="BB221" s="5">
        <v>28.23</v>
      </c>
    </row>
    <row r="222" spans="1:54" x14ac:dyDescent="0.3">
      <c r="A222" s="1" t="s">
        <v>14</v>
      </c>
      <c r="B222" s="1" t="s">
        <v>15</v>
      </c>
      <c r="C222" s="1" t="s">
        <v>16</v>
      </c>
      <c r="D222" s="5">
        <v>42.395299999999999</v>
      </c>
      <c r="E222" s="5">
        <v>118.503</v>
      </c>
      <c r="F222" s="1" t="s">
        <v>17</v>
      </c>
      <c r="G222" s="5" t="s">
        <v>284</v>
      </c>
      <c r="H222" s="5" t="s">
        <v>282</v>
      </c>
      <c r="I222" s="6">
        <v>2.8080522315576673E-4</v>
      </c>
      <c r="J222" s="3" t="s">
        <v>445</v>
      </c>
      <c r="K222" s="5">
        <v>49.733158911376492</v>
      </c>
      <c r="L222" s="5">
        <v>0.16199637346142301</v>
      </c>
      <c r="M222" s="5">
        <v>6.6168747596188</v>
      </c>
      <c r="N222" s="5">
        <v>8.1193020814035997</v>
      </c>
      <c r="O222" s="5">
        <v>3.5788571539721099</v>
      </c>
      <c r="P222" s="5">
        <v>1.46992191920523</v>
      </c>
      <c r="Q222" s="5">
        <v>19.614000000000001</v>
      </c>
      <c r="R222" s="5">
        <v>214.2</v>
      </c>
      <c r="W222" s="5">
        <v>24.26</v>
      </c>
      <c r="X222" s="5">
        <v>473.8</v>
      </c>
      <c r="Y222" s="5">
        <v>0</v>
      </c>
      <c r="Z222" s="5">
        <v>2.06</v>
      </c>
      <c r="AA222" s="5">
        <v>0.56000000000000005</v>
      </c>
      <c r="AB222" s="5">
        <v>37.58</v>
      </c>
      <c r="AC222" s="5">
        <v>2.37</v>
      </c>
      <c r="AD222" s="5">
        <v>19.98</v>
      </c>
      <c r="AE222" s="5">
        <v>40.799999999999997</v>
      </c>
      <c r="AH222" s="5">
        <v>1.4448000000000001</v>
      </c>
      <c r="AI222" s="5">
        <v>316.60000000000002</v>
      </c>
      <c r="AJ222" s="5">
        <v>22.76</v>
      </c>
      <c r="AK222" s="5">
        <v>216</v>
      </c>
      <c r="AL222" s="5">
        <v>4.97</v>
      </c>
      <c r="AM222" s="5">
        <v>14264.92</v>
      </c>
      <c r="AN222" s="5">
        <v>1861.08</v>
      </c>
      <c r="AO222" s="5">
        <v>1.6403654485049834</v>
      </c>
      <c r="AP222" s="5">
        <v>9.49</v>
      </c>
      <c r="AQ222" s="5">
        <v>18.239999999999998</v>
      </c>
      <c r="AR222" s="5">
        <v>1.88</v>
      </c>
      <c r="AS222" s="5">
        <v>0.65</v>
      </c>
      <c r="AT222" s="5">
        <v>21.83</v>
      </c>
      <c r="AU222" s="5">
        <v>0</v>
      </c>
      <c r="AV222" s="5">
        <v>0</v>
      </c>
      <c r="AW222" s="5">
        <v>8.42</v>
      </c>
      <c r="AX222" s="5">
        <v>15.84</v>
      </c>
      <c r="AY222" s="5">
        <v>0.02</v>
      </c>
      <c r="BB222" s="5">
        <v>26.01</v>
      </c>
    </row>
    <row r="223" spans="1:54" x14ac:dyDescent="0.3">
      <c r="A223" s="1" t="s">
        <v>14</v>
      </c>
      <c r="B223" s="1" t="s">
        <v>15</v>
      </c>
      <c r="C223" s="1" t="s">
        <v>16</v>
      </c>
      <c r="D223" s="5">
        <v>42.410400000000003</v>
      </c>
      <c r="E223" s="5">
        <v>118.26300000000001</v>
      </c>
      <c r="F223" s="1" t="s">
        <v>17</v>
      </c>
      <c r="G223" s="5" t="s">
        <v>285</v>
      </c>
      <c r="H223" s="5" t="s">
        <v>282</v>
      </c>
      <c r="I223" s="6">
        <v>1.239146058651386E-5</v>
      </c>
      <c r="J223" s="3" t="s">
        <v>445</v>
      </c>
      <c r="K223" s="5">
        <v>48.260207174062501</v>
      </c>
      <c r="L223" s="5">
        <v>0.15865342849672201</v>
      </c>
      <c r="M223" s="5">
        <v>8.6054560724120499</v>
      </c>
      <c r="N223" s="5">
        <v>8.3608231139956004</v>
      </c>
      <c r="O223" s="5">
        <v>2.7519418091540602</v>
      </c>
      <c r="P223" s="5">
        <v>1.6527899828921999</v>
      </c>
      <c r="Q223" s="5">
        <v>17.536000000000001</v>
      </c>
      <c r="R223" s="5">
        <v>197.7</v>
      </c>
      <c r="W223" s="5">
        <v>25.18</v>
      </c>
      <c r="X223" s="5">
        <v>670</v>
      </c>
      <c r="Y223" s="5">
        <v>0</v>
      </c>
      <c r="Z223" s="5">
        <v>2.76</v>
      </c>
      <c r="AA223" s="5">
        <v>0.77</v>
      </c>
      <c r="AB223" s="5">
        <v>47.06</v>
      </c>
      <c r="AC223" s="5">
        <v>3.02</v>
      </c>
      <c r="AD223" s="5">
        <v>26.64</v>
      </c>
      <c r="AE223" s="5">
        <v>53.36</v>
      </c>
      <c r="AH223" s="5">
        <v>1.2898000000000001</v>
      </c>
      <c r="AI223" s="5">
        <v>348</v>
      </c>
      <c r="AJ223" s="5">
        <v>20.34</v>
      </c>
      <c r="AK223" s="5">
        <v>216.6</v>
      </c>
      <c r="AL223" s="5">
        <v>4.8099999999999996</v>
      </c>
      <c r="AM223" s="5">
        <v>13389.14</v>
      </c>
      <c r="AN223" s="5">
        <v>2285.02</v>
      </c>
      <c r="AO223" s="5">
        <v>2.3414482865560551</v>
      </c>
      <c r="AP223" s="5">
        <v>10.65</v>
      </c>
      <c r="AQ223" s="5">
        <v>17.03</v>
      </c>
      <c r="AR223" s="5">
        <v>1.77</v>
      </c>
      <c r="AS223" s="5">
        <v>0.54</v>
      </c>
      <c r="AT223" s="5">
        <v>25.23</v>
      </c>
      <c r="AU223" s="5">
        <v>0</v>
      </c>
      <c r="AV223" s="5">
        <v>0</v>
      </c>
      <c r="AW223" s="5">
        <v>7.39</v>
      </c>
      <c r="AX223" s="5">
        <v>13.06</v>
      </c>
      <c r="AY223" s="5">
        <v>0.02</v>
      </c>
      <c r="BB223" s="5">
        <v>36.49</v>
      </c>
    </row>
    <row r="224" spans="1:54" x14ac:dyDescent="0.3">
      <c r="A224" s="1" t="s">
        <v>14</v>
      </c>
      <c r="B224" s="1" t="s">
        <v>15</v>
      </c>
      <c r="C224" s="1" t="s">
        <v>16</v>
      </c>
      <c r="D224" s="5">
        <v>42.410400000000003</v>
      </c>
      <c r="E224" s="5">
        <v>118.26300000000001</v>
      </c>
      <c r="F224" s="1" t="s">
        <v>17</v>
      </c>
      <c r="G224" s="5" t="s">
        <v>286</v>
      </c>
      <c r="H224" s="5" t="s">
        <v>282</v>
      </c>
      <c r="I224" s="6">
        <v>1.191040864796378E-4</v>
      </c>
      <c r="J224" s="3" t="s">
        <v>445</v>
      </c>
      <c r="K224" s="5">
        <v>49.726195581048103</v>
      </c>
      <c r="L224" s="5">
        <v>0.152517151683598</v>
      </c>
      <c r="M224" s="5">
        <v>9.6097893300736192</v>
      </c>
      <c r="N224" s="5">
        <v>7.6806044404097698</v>
      </c>
      <c r="O224" s="5">
        <v>2.5459270560929999</v>
      </c>
      <c r="P224" s="5">
        <v>0.95019152382262795</v>
      </c>
      <c r="Q224" s="5">
        <v>19.286000000000001</v>
      </c>
      <c r="R224" s="5">
        <v>192.32</v>
      </c>
      <c r="W224" s="5">
        <v>8.7899999999999991</v>
      </c>
      <c r="X224" s="5">
        <v>408.4</v>
      </c>
      <c r="Y224" s="5">
        <v>0</v>
      </c>
      <c r="Z224" s="5">
        <v>2.0499999999999998</v>
      </c>
      <c r="AA224" s="5">
        <v>0.61</v>
      </c>
      <c r="AB224" s="5">
        <v>36.32</v>
      </c>
      <c r="AC224" s="5">
        <v>2.27</v>
      </c>
      <c r="AD224" s="5">
        <v>19.3</v>
      </c>
      <c r="AE224" s="5">
        <v>39.06</v>
      </c>
      <c r="AH224" s="5">
        <v>1.2766</v>
      </c>
      <c r="AI224" s="5">
        <v>259.2</v>
      </c>
      <c r="AJ224" s="5">
        <v>19.77</v>
      </c>
      <c r="AK224" s="5">
        <v>172.56</v>
      </c>
      <c r="AL224" s="5">
        <v>4.0625</v>
      </c>
      <c r="AM224" s="5">
        <v>12269.3</v>
      </c>
      <c r="AN224" s="5">
        <v>1694.21</v>
      </c>
      <c r="AO224" s="5">
        <v>1.7781607394642018</v>
      </c>
      <c r="AP224" s="5">
        <v>8.73</v>
      </c>
      <c r="AQ224" s="5">
        <v>17.68</v>
      </c>
      <c r="AR224" s="5">
        <v>1.88</v>
      </c>
      <c r="AS224" s="5">
        <v>0.24</v>
      </c>
      <c r="AT224" s="5">
        <v>19.98</v>
      </c>
      <c r="AU224" s="5">
        <v>0</v>
      </c>
      <c r="AV224" s="5">
        <v>0</v>
      </c>
      <c r="AW224" s="5">
        <v>7.14</v>
      </c>
      <c r="AX224" s="5">
        <v>13.43</v>
      </c>
      <c r="AY224" s="5">
        <v>0.02</v>
      </c>
      <c r="BB224" s="5">
        <v>28.45</v>
      </c>
    </row>
    <row r="225" spans="1:54" x14ac:dyDescent="0.3">
      <c r="A225" s="1" t="s">
        <v>14</v>
      </c>
      <c r="B225" s="1" t="s">
        <v>15</v>
      </c>
      <c r="C225" s="1" t="s">
        <v>16</v>
      </c>
      <c r="D225" s="5">
        <v>43.238999999999997</v>
      </c>
      <c r="E225" s="5">
        <v>118.1386</v>
      </c>
      <c r="F225" s="1" t="s">
        <v>17</v>
      </c>
      <c r="G225" s="5" t="s">
        <v>287</v>
      </c>
      <c r="H225" s="5" t="s">
        <v>282</v>
      </c>
      <c r="I225" s="6">
        <v>2.7061869332101199E-5</v>
      </c>
      <c r="J225" s="3" t="s">
        <v>445</v>
      </c>
      <c r="K225" s="5">
        <v>49.125769036356303</v>
      </c>
      <c r="L225" s="5">
        <v>0.15742050454673101</v>
      </c>
      <c r="M225" s="5">
        <v>8.8949745148902597</v>
      </c>
      <c r="N225" s="5">
        <v>8.2303345726571386</v>
      </c>
      <c r="O225" s="5">
        <v>2.3471262766057199</v>
      </c>
      <c r="P225" s="5">
        <v>1.2418869202809399</v>
      </c>
      <c r="Q225" s="5">
        <v>18.788</v>
      </c>
      <c r="R225" s="5">
        <v>196.18</v>
      </c>
      <c r="W225" s="5">
        <v>21.64</v>
      </c>
      <c r="X225" s="5">
        <v>635.6</v>
      </c>
      <c r="Y225" s="5">
        <v>0</v>
      </c>
      <c r="Z225" s="5">
        <v>2.31</v>
      </c>
      <c r="AA225" s="5">
        <v>0.67</v>
      </c>
      <c r="AB225" s="5">
        <v>41.92</v>
      </c>
      <c r="AC225" s="5">
        <v>2.63</v>
      </c>
      <c r="AD225" s="5">
        <v>22.7</v>
      </c>
      <c r="AE225" s="5">
        <v>45.7</v>
      </c>
      <c r="AH225" s="5">
        <v>1.296</v>
      </c>
      <c r="AI225" s="5">
        <v>309.39999999999998</v>
      </c>
      <c r="AJ225" s="5">
        <v>20.56</v>
      </c>
      <c r="AK225" s="5">
        <v>189.38</v>
      </c>
      <c r="AL225" s="5">
        <v>4.33</v>
      </c>
      <c r="AM225" s="5">
        <v>12547.68</v>
      </c>
      <c r="AN225" s="5">
        <v>1862.33</v>
      </c>
      <c r="AO225" s="5">
        <v>2.0293209876543208</v>
      </c>
      <c r="AP225" s="5">
        <v>9.2100000000000009</v>
      </c>
      <c r="AQ225" s="5">
        <v>18.13</v>
      </c>
      <c r="AR225" s="5">
        <v>1.85</v>
      </c>
      <c r="AS225" s="5">
        <v>0.52</v>
      </c>
      <c r="AT225" s="5">
        <v>27.02</v>
      </c>
      <c r="AU225" s="5">
        <v>0</v>
      </c>
      <c r="AV225" s="5">
        <v>0</v>
      </c>
      <c r="AW225" s="5">
        <v>7.38</v>
      </c>
      <c r="AX225" s="5">
        <v>13.63</v>
      </c>
      <c r="AY225" s="5">
        <v>0.02</v>
      </c>
      <c r="BB225" s="5">
        <v>32.35</v>
      </c>
    </row>
    <row r="226" spans="1:54" x14ac:dyDescent="0.3">
      <c r="A226" s="1" t="s">
        <v>14</v>
      </c>
      <c r="B226" s="1" t="s">
        <v>15</v>
      </c>
      <c r="C226" s="1" t="s">
        <v>16</v>
      </c>
      <c r="D226" s="5">
        <v>42.335099999999997</v>
      </c>
      <c r="E226" s="5">
        <v>118.70489999999999</v>
      </c>
      <c r="F226" s="1" t="s">
        <v>17</v>
      </c>
      <c r="G226" s="5" t="s">
        <v>288</v>
      </c>
      <c r="H226" s="5" t="s">
        <v>282</v>
      </c>
      <c r="I226" s="6">
        <v>5.6952558225020766E-4</v>
      </c>
      <c r="J226" s="3" t="s">
        <v>445</v>
      </c>
      <c r="K226" s="5">
        <v>48.378910266169399</v>
      </c>
      <c r="L226" s="5">
        <v>0.168142535904165</v>
      </c>
      <c r="M226" s="5">
        <v>8.1576382225078792</v>
      </c>
      <c r="N226" s="5">
        <v>8.0921807752387398</v>
      </c>
      <c r="O226" s="5">
        <v>3.7529921653757201</v>
      </c>
      <c r="P226" s="5">
        <v>1.6082962740851701</v>
      </c>
      <c r="Q226" s="5">
        <v>18.928000000000001</v>
      </c>
      <c r="R226" s="5">
        <v>199.5</v>
      </c>
      <c r="W226" s="5">
        <v>23.82</v>
      </c>
      <c r="X226" s="5">
        <v>494</v>
      </c>
      <c r="Y226" s="5">
        <v>0</v>
      </c>
      <c r="Z226" s="5">
        <v>2.14</v>
      </c>
      <c r="AA226" s="5">
        <v>0.35</v>
      </c>
      <c r="AB226" s="5">
        <v>37.64</v>
      </c>
      <c r="AC226" s="5">
        <v>2.4</v>
      </c>
      <c r="AD226" s="5">
        <v>21.14</v>
      </c>
      <c r="AE226" s="5">
        <v>42.12</v>
      </c>
      <c r="AH226" s="5">
        <v>1.39</v>
      </c>
      <c r="AI226" s="5">
        <v>338.8</v>
      </c>
      <c r="AJ226" s="5">
        <v>21.52</v>
      </c>
      <c r="AK226" s="5">
        <v>189.5</v>
      </c>
      <c r="AL226" s="5">
        <v>4.4024999999999999</v>
      </c>
      <c r="AM226" s="5">
        <v>12644.7</v>
      </c>
      <c r="AN226" s="5">
        <v>1960.96</v>
      </c>
      <c r="AO226" s="5">
        <v>1.7266187050359714</v>
      </c>
      <c r="AP226" s="5">
        <v>8.81</v>
      </c>
      <c r="AQ226" s="5">
        <v>17.62</v>
      </c>
      <c r="AR226" s="5">
        <v>1.78</v>
      </c>
      <c r="AS226" s="5">
        <v>0.63</v>
      </c>
      <c r="AT226" s="5">
        <v>23</v>
      </c>
      <c r="AU226" s="5">
        <v>0</v>
      </c>
      <c r="AV226" s="5">
        <v>0</v>
      </c>
      <c r="AW226" s="5">
        <v>9</v>
      </c>
      <c r="AX226" s="5">
        <v>16.03</v>
      </c>
      <c r="AY226" s="5">
        <v>0.01</v>
      </c>
      <c r="BB226" s="5">
        <v>27.08</v>
      </c>
    </row>
    <row r="227" spans="1:54" x14ac:dyDescent="0.3">
      <c r="A227" s="1" t="s">
        <v>14</v>
      </c>
      <c r="B227" s="1" t="s">
        <v>15</v>
      </c>
      <c r="C227" s="1" t="s">
        <v>16</v>
      </c>
      <c r="D227" s="5">
        <v>42.410400000000003</v>
      </c>
      <c r="E227" s="5">
        <v>118.26300000000001</v>
      </c>
      <c r="F227" s="1" t="s">
        <v>17</v>
      </c>
      <c r="G227" s="5" t="s">
        <v>289</v>
      </c>
      <c r="H227" s="5" t="s">
        <v>282</v>
      </c>
      <c r="I227" s="6">
        <v>1.0944581845251379E-5</v>
      </c>
      <c r="J227" s="3" t="s">
        <v>445</v>
      </c>
      <c r="K227" s="5">
        <v>48.008236993285287</v>
      </c>
      <c r="L227" s="5">
        <v>0.164136818353493</v>
      </c>
      <c r="M227" s="5">
        <v>8.7917365651589794</v>
      </c>
      <c r="N227" s="5">
        <v>8.2074092740524893</v>
      </c>
      <c r="O227" s="5">
        <v>2.9267616561463701</v>
      </c>
      <c r="P227" s="5">
        <v>1.48995311377082</v>
      </c>
      <c r="Q227" s="5">
        <v>19.052</v>
      </c>
      <c r="R227" s="5">
        <v>206.4</v>
      </c>
      <c r="W227" s="5">
        <v>19.46</v>
      </c>
      <c r="X227" s="5">
        <v>667.2</v>
      </c>
      <c r="Y227" s="5">
        <v>0</v>
      </c>
      <c r="Z227" s="5">
        <v>2.6</v>
      </c>
      <c r="AA227" s="5">
        <v>0.52</v>
      </c>
      <c r="AB227" s="5">
        <v>51.56</v>
      </c>
      <c r="AC227" s="5">
        <v>3.14</v>
      </c>
      <c r="AD227" s="5">
        <v>27.94</v>
      </c>
      <c r="AE227" s="5">
        <v>55.42</v>
      </c>
      <c r="AH227" s="5">
        <v>1.4408000000000001</v>
      </c>
      <c r="AI227" s="5">
        <v>350.8</v>
      </c>
      <c r="AJ227" s="5">
        <v>22.94</v>
      </c>
      <c r="AK227" s="5">
        <v>236.2</v>
      </c>
      <c r="AL227" s="5">
        <v>5.1150000000000002</v>
      </c>
      <c r="AM227" s="5">
        <v>13930.04</v>
      </c>
      <c r="AN227" s="5">
        <v>2410.56</v>
      </c>
      <c r="AO227" s="5">
        <v>2.1793448084397555</v>
      </c>
      <c r="AP227" s="5">
        <v>10.3</v>
      </c>
      <c r="AQ227" s="5">
        <v>19.850000000000001</v>
      </c>
      <c r="AR227" s="5">
        <v>1.85</v>
      </c>
      <c r="AS227" s="5">
        <v>0.38</v>
      </c>
      <c r="AT227" s="5">
        <v>23.86</v>
      </c>
      <c r="AU227" s="5">
        <v>0</v>
      </c>
      <c r="AV227" s="5">
        <v>0</v>
      </c>
      <c r="AW227" s="5">
        <v>6.8</v>
      </c>
      <c r="AX227" s="5">
        <v>12.56</v>
      </c>
      <c r="AY227" s="5">
        <v>0.01</v>
      </c>
      <c r="BB227" s="5">
        <v>35.79</v>
      </c>
    </row>
    <row r="228" spans="1:54" x14ac:dyDescent="0.3">
      <c r="A228" s="1" t="s">
        <v>14</v>
      </c>
      <c r="B228" s="1" t="s">
        <v>15</v>
      </c>
      <c r="C228" s="1" t="s">
        <v>16</v>
      </c>
      <c r="D228" s="5">
        <v>42.395299999999999</v>
      </c>
      <c r="E228" s="5">
        <v>118.503</v>
      </c>
      <c r="F228" s="1" t="s">
        <v>17</v>
      </c>
      <c r="G228" s="5" t="s">
        <v>290</v>
      </c>
      <c r="H228" s="5" t="s">
        <v>282</v>
      </c>
      <c r="I228" s="6">
        <v>1.8788644229061899E-4</v>
      </c>
      <c r="J228" s="3" t="s">
        <v>445</v>
      </c>
      <c r="K228" s="5">
        <v>49.4965313403357</v>
      </c>
      <c r="L228" s="5">
        <v>0.16241771820919801</v>
      </c>
      <c r="M228" s="5">
        <v>9.55002488667769</v>
      </c>
      <c r="N228" s="5">
        <v>7.63470937362003</v>
      </c>
      <c r="O228" s="5">
        <v>3.1098456873535301</v>
      </c>
      <c r="P228" s="5">
        <v>1.2005752108239001</v>
      </c>
      <c r="Q228" s="5">
        <v>19.393999999999998</v>
      </c>
      <c r="R228" s="5">
        <v>187.14</v>
      </c>
      <c r="W228" s="5">
        <v>15.36</v>
      </c>
      <c r="X228" s="5">
        <v>422.6</v>
      </c>
      <c r="Y228" s="5">
        <v>0</v>
      </c>
      <c r="Z228" s="5">
        <v>1.72</v>
      </c>
      <c r="AA228" s="5">
        <v>0.37</v>
      </c>
      <c r="AB228" s="5">
        <v>32.4</v>
      </c>
      <c r="AC228" s="5">
        <v>2.12</v>
      </c>
      <c r="AD228" s="5">
        <v>17.39</v>
      </c>
      <c r="AE228" s="5">
        <v>34.68</v>
      </c>
      <c r="AH228" s="5">
        <v>1.3242</v>
      </c>
      <c r="AI228" s="5">
        <v>294</v>
      </c>
      <c r="AJ228" s="5">
        <v>20.420000000000002</v>
      </c>
      <c r="AK228" s="5">
        <v>173.56</v>
      </c>
      <c r="AL228" s="5">
        <v>4.0350000000000001</v>
      </c>
      <c r="AM228" s="5">
        <v>11822.76</v>
      </c>
      <c r="AN228" s="5">
        <v>1572.84</v>
      </c>
      <c r="AO228" s="5">
        <v>1.6009666213562905</v>
      </c>
      <c r="AP228" s="5">
        <v>8.5</v>
      </c>
      <c r="AQ228" s="5">
        <v>18.809999999999999</v>
      </c>
      <c r="AR228" s="5">
        <v>1.86</v>
      </c>
      <c r="AS228" s="5">
        <v>0.47</v>
      </c>
      <c r="AT228" s="5">
        <v>22.51</v>
      </c>
      <c r="AU228" s="5">
        <v>0</v>
      </c>
      <c r="AV228" s="5">
        <v>0</v>
      </c>
      <c r="AW228" s="5">
        <v>9.07</v>
      </c>
      <c r="AX228" s="5">
        <v>16.91</v>
      </c>
      <c r="AY228" s="5">
        <v>0.01</v>
      </c>
      <c r="BB228" s="5">
        <v>24.47</v>
      </c>
    </row>
    <row r="229" spans="1:54" x14ac:dyDescent="0.3">
      <c r="A229" s="1" t="s">
        <v>14</v>
      </c>
      <c r="B229" s="1" t="s">
        <v>15</v>
      </c>
      <c r="C229" s="1" t="s">
        <v>16</v>
      </c>
      <c r="D229" s="5">
        <v>42.395299999999999</v>
      </c>
      <c r="E229" s="5">
        <v>118.503</v>
      </c>
      <c r="F229" s="1" t="s">
        <v>17</v>
      </c>
      <c r="G229" s="5" t="s">
        <v>291</v>
      </c>
      <c r="H229" s="5" t="s">
        <v>282</v>
      </c>
      <c r="I229" s="6">
        <v>1.299897208809853E-3</v>
      </c>
      <c r="J229" s="3" t="s">
        <v>445</v>
      </c>
      <c r="K229" s="5">
        <v>49.932760086361696</v>
      </c>
      <c r="L229" s="5">
        <v>0.161531682242086</v>
      </c>
      <c r="M229" s="5">
        <v>6.4738424833352486</v>
      </c>
      <c r="N229" s="5">
        <v>7.5189686225148096</v>
      </c>
      <c r="O229" s="5">
        <v>3.55559957123267</v>
      </c>
      <c r="P229" s="5">
        <v>1.4894238925646801</v>
      </c>
      <c r="Q229" s="5">
        <v>16.777999999999999</v>
      </c>
      <c r="R229" s="5">
        <v>192.7</v>
      </c>
      <c r="W229" s="5">
        <v>21.02</v>
      </c>
      <c r="X229" s="5">
        <v>433.8</v>
      </c>
      <c r="Y229" s="5">
        <v>0</v>
      </c>
      <c r="Z229" s="5">
        <v>1.97</v>
      </c>
      <c r="AA229" s="5">
        <v>0.53</v>
      </c>
      <c r="AB229" s="5">
        <v>38.200000000000003</v>
      </c>
      <c r="AC229" s="5">
        <v>2.38</v>
      </c>
      <c r="AD229" s="5">
        <v>19.71</v>
      </c>
      <c r="AE229" s="5">
        <v>39.68</v>
      </c>
      <c r="AH229" s="5">
        <v>1.4376</v>
      </c>
      <c r="AI229" s="5">
        <v>312.39999999999998</v>
      </c>
      <c r="AJ229" s="5">
        <v>22.62</v>
      </c>
      <c r="AK229" s="5">
        <v>204</v>
      </c>
      <c r="AL229" s="5">
        <v>4.6849999999999996</v>
      </c>
      <c r="AM229" s="5">
        <v>14039.19</v>
      </c>
      <c r="AN229" s="5">
        <v>2049.2199999999998</v>
      </c>
      <c r="AO229" s="5">
        <v>1.6555370061213133</v>
      </c>
      <c r="AP229" s="5">
        <v>9.02</v>
      </c>
      <c r="AQ229" s="5">
        <v>19.38</v>
      </c>
      <c r="AR229" s="5">
        <v>1.94</v>
      </c>
      <c r="AS229" s="5">
        <v>0.55000000000000004</v>
      </c>
      <c r="AT229" s="5">
        <v>20.350000000000001</v>
      </c>
      <c r="AU229" s="5">
        <v>0</v>
      </c>
      <c r="AV229" s="5">
        <v>0</v>
      </c>
      <c r="AW229" s="5">
        <v>8.18</v>
      </c>
      <c r="AX229" s="5">
        <v>15.85</v>
      </c>
      <c r="AY229" s="5">
        <v>0.01</v>
      </c>
      <c r="BB229" s="5">
        <v>26.57</v>
      </c>
    </row>
    <row r="230" spans="1:54" x14ac:dyDescent="0.3">
      <c r="A230" s="1" t="s">
        <v>14</v>
      </c>
      <c r="B230" s="1" t="s">
        <v>15</v>
      </c>
      <c r="C230" s="1" t="s">
        <v>16</v>
      </c>
      <c r="D230" s="5">
        <v>42.410400000000003</v>
      </c>
      <c r="E230" s="5">
        <v>118.26300000000001</v>
      </c>
      <c r="F230" s="1" t="s">
        <v>17</v>
      </c>
      <c r="G230" s="5" t="s">
        <v>292</v>
      </c>
      <c r="H230" s="5" t="s">
        <v>282</v>
      </c>
      <c r="I230" s="6">
        <v>2.0380800124257799E-3</v>
      </c>
      <c r="J230" s="3" t="s">
        <v>445</v>
      </c>
      <c r="K230" s="5">
        <v>48.932018804712001</v>
      </c>
      <c r="L230" s="5">
        <v>0.155616011376357</v>
      </c>
      <c r="M230" s="5">
        <v>6.4038460458586002</v>
      </c>
      <c r="N230" s="5">
        <v>7.7372172485215396</v>
      </c>
      <c r="O230" s="5">
        <v>3.3418078507938498</v>
      </c>
      <c r="P230" s="5">
        <v>1.15586022019461</v>
      </c>
      <c r="Q230" s="5">
        <v>19.80293585360949</v>
      </c>
      <c r="R230" s="5">
        <v>206.51518198270662</v>
      </c>
      <c r="W230" s="5">
        <v>12.93</v>
      </c>
      <c r="X230" s="5">
        <v>429.52</v>
      </c>
      <c r="Y230" s="5">
        <v>0</v>
      </c>
      <c r="Z230" s="5">
        <v>1.74</v>
      </c>
      <c r="AA230" s="5">
        <v>0.26</v>
      </c>
      <c r="AB230" s="5">
        <v>33.94</v>
      </c>
      <c r="AC230" s="5">
        <v>2.08</v>
      </c>
      <c r="AD230" s="5">
        <v>22.54</v>
      </c>
      <c r="AE230" s="5">
        <v>40.9</v>
      </c>
      <c r="AH230" s="5">
        <v>1.47576915342851</v>
      </c>
      <c r="AI230" s="5">
        <v>286.75</v>
      </c>
      <c r="AJ230" s="5">
        <v>24.31</v>
      </c>
      <c r="AK230" s="5">
        <v>186.89</v>
      </c>
      <c r="AL230" s="5">
        <v>4.3736175346873116</v>
      </c>
      <c r="AM230" s="5">
        <v>12585.88</v>
      </c>
      <c r="AN230" s="5">
        <v>1834.32</v>
      </c>
      <c r="AO230" s="5">
        <v>1.4094345278648355</v>
      </c>
      <c r="AP230" s="5">
        <v>7.69</v>
      </c>
      <c r="AQ230" s="5">
        <v>19.510000000000002</v>
      </c>
      <c r="AR230" s="5">
        <v>1.51</v>
      </c>
      <c r="AS230" s="5">
        <v>0.38</v>
      </c>
      <c r="AT230" s="5">
        <v>17.920000000000002</v>
      </c>
      <c r="AU230" s="5">
        <v>0</v>
      </c>
      <c r="AV230" s="5">
        <v>0</v>
      </c>
      <c r="AW230" s="5">
        <v>8.4499999999999993</v>
      </c>
      <c r="AX230" s="5">
        <v>12.72</v>
      </c>
      <c r="AY230" s="5">
        <v>0.01</v>
      </c>
      <c r="BB230" s="5">
        <v>23</v>
      </c>
    </row>
    <row r="231" spans="1:54" x14ac:dyDescent="0.3">
      <c r="A231" s="1" t="s">
        <v>14</v>
      </c>
      <c r="B231" s="1" t="s">
        <v>15</v>
      </c>
      <c r="C231" s="1" t="s">
        <v>16</v>
      </c>
      <c r="D231" s="5">
        <v>42.395299999999999</v>
      </c>
      <c r="E231" s="5">
        <v>118.503</v>
      </c>
      <c r="F231" s="1" t="s">
        <v>17</v>
      </c>
      <c r="G231" s="5" t="s">
        <v>293</v>
      </c>
      <c r="H231" s="5" t="s">
        <v>282</v>
      </c>
      <c r="I231" s="6">
        <v>5.9757006965810433E-5</v>
      </c>
      <c r="J231" s="3" t="s">
        <v>445</v>
      </c>
      <c r="K231" s="5">
        <v>49.420642641868398</v>
      </c>
      <c r="L231" s="5">
        <v>0.16734967122146799</v>
      </c>
      <c r="M231" s="5">
        <v>9.3562699642592904</v>
      </c>
      <c r="N231" s="5">
        <v>7.8995247175422003</v>
      </c>
      <c r="O231" s="5">
        <v>3.18544312502106</v>
      </c>
      <c r="P231" s="5">
        <v>1.3164601062606001</v>
      </c>
      <c r="Q231" s="5">
        <v>19.725999999999999</v>
      </c>
      <c r="R231" s="5">
        <v>202.6</v>
      </c>
      <c r="W231" s="5">
        <v>19.18</v>
      </c>
      <c r="X231" s="5">
        <v>407</v>
      </c>
      <c r="Y231" s="5">
        <v>0</v>
      </c>
      <c r="Z231" s="5">
        <v>1.69</v>
      </c>
      <c r="AA231" s="5">
        <v>0.4</v>
      </c>
      <c r="AB231" s="5">
        <v>34.479999999999997</v>
      </c>
      <c r="AC231" s="5">
        <v>2.36</v>
      </c>
      <c r="AD231" s="5">
        <v>17.670000000000002</v>
      </c>
      <c r="AE231" s="5">
        <v>35.94</v>
      </c>
      <c r="AH231" s="5">
        <v>1.373</v>
      </c>
      <c r="AI231" s="5">
        <v>267.2</v>
      </c>
      <c r="AJ231" s="5">
        <v>21.6</v>
      </c>
      <c r="AK231" s="5">
        <v>186.98</v>
      </c>
      <c r="AL231" s="5">
        <v>4.2549999999999999</v>
      </c>
      <c r="AM231" s="5">
        <v>13360.1</v>
      </c>
      <c r="AN231" s="5">
        <v>1769.19</v>
      </c>
      <c r="AO231" s="5">
        <v>1.7188638018936635</v>
      </c>
      <c r="AP231" s="5">
        <v>8.66</v>
      </c>
      <c r="AQ231" s="5">
        <v>20.399999999999999</v>
      </c>
      <c r="AR231" s="5">
        <v>1.95</v>
      </c>
      <c r="AS231" s="5">
        <v>0.56000000000000005</v>
      </c>
      <c r="AT231" s="5">
        <v>20.86</v>
      </c>
      <c r="AU231" s="5">
        <v>0</v>
      </c>
      <c r="AV231" s="5">
        <v>0</v>
      </c>
      <c r="AW231" s="5">
        <v>7.75</v>
      </c>
      <c r="AX231" s="5">
        <v>15.12</v>
      </c>
      <c r="AY231" s="5">
        <v>0.01</v>
      </c>
      <c r="BB231" s="5">
        <v>25.11</v>
      </c>
    </row>
    <row r="232" spans="1:54" x14ac:dyDescent="0.3">
      <c r="A232" s="1" t="s">
        <v>14</v>
      </c>
      <c r="B232" s="1" t="s">
        <v>15</v>
      </c>
      <c r="C232" s="1" t="s">
        <v>16</v>
      </c>
      <c r="D232" s="5">
        <v>42.410400000000003</v>
      </c>
      <c r="E232" s="5">
        <v>118.26300000000001</v>
      </c>
      <c r="F232" s="1" t="s">
        <v>17</v>
      </c>
      <c r="G232" s="5" t="s">
        <v>294</v>
      </c>
      <c r="H232" s="5" t="s">
        <v>282</v>
      </c>
      <c r="I232" s="6">
        <v>6.5553822787478566E-4</v>
      </c>
      <c r="J232" s="3" t="s">
        <v>445</v>
      </c>
      <c r="K232" s="5">
        <v>47.399855514705003</v>
      </c>
      <c r="L232" s="5">
        <v>0.17299992368851799</v>
      </c>
      <c r="M232" s="5">
        <v>7.5219593494687107</v>
      </c>
      <c r="N232" s="5">
        <v>8.8244510213367899</v>
      </c>
      <c r="O232" s="5">
        <v>3.7040837027206202</v>
      </c>
      <c r="P232" s="5">
        <v>1.2234723699562899</v>
      </c>
      <c r="Q232" s="5">
        <v>19.366</v>
      </c>
      <c r="R232" s="5">
        <v>188.96</v>
      </c>
      <c r="W232" s="5">
        <v>10.94</v>
      </c>
      <c r="X232" s="5">
        <v>467.4</v>
      </c>
      <c r="Y232" s="5">
        <v>0</v>
      </c>
      <c r="Z232" s="5">
        <v>1.84</v>
      </c>
      <c r="AA232" s="5">
        <v>0.35</v>
      </c>
      <c r="AB232" s="5">
        <v>34.020000000000003</v>
      </c>
      <c r="AC232" s="5">
        <v>2.13</v>
      </c>
      <c r="AD232" s="5">
        <v>22.94</v>
      </c>
      <c r="AE232" s="5">
        <v>41.48</v>
      </c>
      <c r="AH232" s="5">
        <v>1.4903999999999999</v>
      </c>
      <c r="AI232" s="5">
        <v>262.60000000000002</v>
      </c>
      <c r="AJ232" s="5">
        <v>23.84</v>
      </c>
      <c r="AK232" s="5">
        <v>189.06</v>
      </c>
      <c r="AL232" s="5">
        <v>4.3875000000000002</v>
      </c>
      <c r="AM232" s="5">
        <v>13043.81</v>
      </c>
      <c r="AN232" s="5">
        <v>1890.49</v>
      </c>
      <c r="AO232" s="5">
        <v>1.4291465378421899</v>
      </c>
      <c r="AP232" s="5">
        <v>7.93</v>
      </c>
      <c r="AQ232" s="5">
        <v>18.489999999999998</v>
      </c>
      <c r="AR232" s="5">
        <v>1.48</v>
      </c>
      <c r="AS232" s="5">
        <v>0.32</v>
      </c>
      <c r="AT232" s="5">
        <v>20.079999999999998</v>
      </c>
      <c r="AU232" s="5">
        <v>0</v>
      </c>
      <c r="AV232" s="5">
        <v>0</v>
      </c>
      <c r="AW232" s="5">
        <v>7.72</v>
      </c>
      <c r="AX232" s="5">
        <v>11.45</v>
      </c>
      <c r="AY232" s="5">
        <v>0.01</v>
      </c>
      <c r="BB232" s="5">
        <v>22.83</v>
      </c>
    </row>
    <row r="233" spans="1:54" x14ac:dyDescent="0.3">
      <c r="A233" s="1" t="s">
        <v>14</v>
      </c>
      <c r="B233" s="1" t="s">
        <v>15</v>
      </c>
      <c r="C233" s="1" t="s">
        <v>16</v>
      </c>
      <c r="D233" s="5">
        <v>42.335099999999997</v>
      </c>
      <c r="E233" s="5">
        <v>118.70489999999999</v>
      </c>
      <c r="F233" s="1" t="s">
        <v>17</v>
      </c>
      <c r="G233" s="5" t="s">
        <v>295</v>
      </c>
      <c r="H233" s="5" t="s">
        <v>282</v>
      </c>
      <c r="I233" s="6">
        <v>1.039153357851319E-4</v>
      </c>
      <c r="J233" s="3" t="s">
        <v>445</v>
      </c>
      <c r="K233" s="5">
        <v>46.638067614296112</v>
      </c>
      <c r="L233" s="5">
        <v>0.17434407646642999</v>
      </c>
      <c r="M233" s="5">
        <v>8.6851898918001691</v>
      </c>
      <c r="N233" s="5">
        <v>8.3283754149346905</v>
      </c>
      <c r="O233" s="5">
        <v>3.5780455014713199</v>
      </c>
      <c r="P233" s="5">
        <v>1.4106673354793</v>
      </c>
      <c r="Q233" s="5">
        <v>19.952000000000002</v>
      </c>
      <c r="R233" s="5">
        <v>214</v>
      </c>
      <c r="W233" s="5">
        <v>19.71</v>
      </c>
      <c r="X233" s="5">
        <v>439.4</v>
      </c>
      <c r="Y233" s="5">
        <v>0</v>
      </c>
      <c r="Z233" s="5">
        <v>1.76</v>
      </c>
      <c r="AA233" s="5">
        <v>0.36</v>
      </c>
      <c r="AB233" s="5">
        <v>35.28</v>
      </c>
      <c r="AC233" s="5">
        <v>2.27</v>
      </c>
      <c r="AD233" s="5">
        <v>17.87</v>
      </c>
      <c r="AE233" s="5">
        <v>36.799999999999997</v>
      </c>
      <c r="AH233" s="5">
        <v>1.423</v>
      </c>
      <c r="AI233" s="5">
        <v>269.2</v>
      </c>
      <c r="AJ233" s="5">
        <v>21.92</v>
      </c>
      <c r="AK233" s="5">
        <v>180.82</v>
      </c>
      <c r="AL233" s="5">
        <v>4.4074999999999998</v>
      </c>
      <c r="AM233" s="5">
        <v>14517.72</v>
      </c>
      <c r="AN233" s="5">
        <v>1825.34</v>
      </c>
      <c r="AO233" s="5">
        <v>1.5952213633169361</v>
      </c>
      <c r="AP233" s="5">
        <v>8.25</v>
      </c>
      <c r="AQ233" s="5">
        <v>20.04</v>
      </c>
      <c r="AR233" s="5">
        <v>1.97</v>
      </c>
      <c r="AS233" s="5">
        <v>0.56000000000000005</v>
      </c>
      <c r="AT233" s="5">
        <v>21.86</v>
      </c>
      <c r="AU233" s="5">
        <v>0</v>
      </c>
      <c r="AV233" s="5">
        <v>0</v>
      </c>
      <c r="AW233" s="5">
        <v>7.63</v>
      </c>
      <c r="AX233" s="5">
        <v>15.07</v>
      </c>
      <c r="AY233" s="5">
        <v>0.01</v>
      </c>
      <c r="BB233" s="5">
        <v>24.79</v>
      </c>
    </row>
    <row r="234" spans="1:54" x14ac:dyDescent="0.3">
      <c r="A234" s="1" t="s">
        <v>14</v>
      </c>
      <c r="B234" s="1" t="s">
        <v>15</v>
      </c>
      <c r="C234" s="1" t="s">
        <v>16</v>
      </c>
      <c r="D234" s="5">
        <v>42.410400000000003</v>
      </c>
      <c r="E234" s="5">
        <v>118.26300000000001</v>
      </c>
      <c r="F234" s="1" t="s">
        <v>17</v>
      </c>
      <c r="G234" s="5" t="s">
        <v>296</v>
      </c>
      <c r="H234" s="5" t="s">
        <v>282</v>
      </c>
      <c r="I234" s="6">
        <v>2.9561153496615589E-5</v>
      </c>
      <c r="J234" s="3" t="s">
        <v>445</v>
      </c>
      <c r="K234" s="5">
        <v>45.491535802448198</v>
      </c>
      <c r="L234" s="5">
        <v>0.174038688031532</v>
      </c>
      <c r="M234" s="5">
        <v>9.2389495074058807</v>
      </c>
      <c r="N234" s="5">
        <v>9.1509538286525896</v>
      </c>
      <c r="O234" s="5">
        <v>2.68562990260315</v>
      </c>
      <c r="P234" s="5">
        <v>1.6970155850469699</v>
      </c>
      <c r="Q234" s="5">
        <v>18.062311557788945</v>
      </c>
      <c r="R234" s="5">
        <v>221.90954773869348</v>
      </c>
      <c r="W234" s="5">
        <v>32.58</v>
      </c>
      <c r="X234" s="5">
        <v>844.62</v>
      </c>
      <c r="Y234" s="5">
        <v>0</v>
      </c>
      <c r="Z234" s="5">
        <v>4.13</v>
      </c>
      <c r="AA234" s="5">
        <v>0.91</v>
      </c>
      <c r="AB234" s="5">
        <v>86.93</v>
      </c>
      <c r="AC234" s="5">
        <v>5.0999999999999996</v>
      </c>
      <c r="AD234" s="5">
        <v>42.73</v>
      </c>
      <c r="AE234" s="5">
        <v>81.41</v>
      </c>
      <c r="AH234" s="5">
        <v>1.35316582914573</v>
      </c>
      <c r="AI234" s="5">
        <v>700.9</v>
      </c>
      <c r="AJ234" s="5">
        <v>25.11</v>
      </c>
      <c r="AK234" s="5">
        <v>258.29000000000002</v>
      </c>
      <c r="AL234" s="5">
        <v>5.6884422110552757</v>
      </c>
      <c r="AM234" s="5">
        <v>18691.46</v>
      </c>
      <c r="AN234" s="5">
        <v>3873.94</v>
      </c>
      <c r="AO234" s="5">
        <v>3.76893939393939</v>
      </c>
      <c r="AP234" s="5">
        <v>10.29</v>
      </c>
      <c r="AQ234" s="5">
        <v>21.05</v>
      </c>
      <c r="AR234" s="5">
        <v>2.0299999999999998</v>
      </c>
      <c r="AS234" s="5">
        <v>0.37</v>
      </c>
      <c r="AT234" s="5">
        <v>21.14</v>
      </c>
      <c r="AU234" s="5">
        <v>0</v>
      </c>
      <c r="AV234" s="5">
        <v>0</v>
      </c>
      <c r="AW234" s="5">
        <v>8.06</v>
      </c>
      <c r="AX234" s="5">
        <v>16.399999999999999</v>
      </c>
      <c r="AY234" s="5">
        <v>0.01</v>
      </c>
      <c r="BB234" s="5">
        <v>64.25</v>
      </c>
    </row>
    <row r="235" spans="1:54" x14ac:dyDescent="0.3">
      <c r="A235" s="1" t="s">
        <v>14</v>
      </c>
      <c r="B235" s="1" t="s">
        <v>15</v>
      </c>
      <c r="C235" s="1" t="s">
        <v>16</v>
      </c>
      <c r="D235" s="5">
        <v>43.114400000000003</v>
      </c>
      <c r="E235" s="5">
        <v>117.9661</v>
      </c>
      <c r="F235" s="1" t="s">
        <v>17</v>
      </c>
      <c r="G235" s="5" t="s">
        <v>297</v>
      </c>
      <c r="H235" s="5" t="s">
        <v>298</v>
      </c>
      <c r="I235" s="6">
        <v>9.5681149105075747E-5</v>
      </c>
      <c r="J235" s="3" t="s">
        <v>445</v>
      </c>
      <c r="K235" s="5">
        <v>48.74</v>
      </c>
      <c r="L235" s="5">
        <v>0.13900000000000001</v>
      </c>
      <c r="M235" s="5">
        <v>7.7</v>
      </c>
      <c r="N235" s="5">
        <v>8.02</v>
      </c>
      <c r="O235" s="5">
        <v>4.4000000000000004</v>
      </c>
      <c r="P235" s="5">
        <v>2.13</v>
      </c>
      <c r="Q235" s="5">
        <v>16</v>
      </c>
      <c r="R235" s="5">
        <v>178</v>
      </c>
      <c r="W235" s="5">
        <v>31.1</v>
      </c>
      <c r="X235" s="5">
        <v>670</v>
      </c>
      <c r="Y235" s="5">
        <v>3.67</v>
      </c>
      <c r="Z235" s="5">
        <v>4.09</v>
      </c>
      <c r="AA235" s="5">
        <v>1.2</v>
      </c>
      <c r="AB235" s="5">
        <v>48.3</v>
      </c>
      <c r="AC235" s="5">
        <v>2.6</v>
      </c>
      <c r="AD235" s="5">
        <v>28.1</v>
      </c>
      <c r="AE235" s="5">
        <v>57.3</v>
      </c>
      <c r="AH235" s="5">
        <v>1.56</v>
      </c>
      <c r="AI235" s="5">
        <v>378</v>
      </c>
      <c r="AJ235" s="5">
        <v>23.3</v>
      </c>
      <c r="AK235" s="5">
        <v>210</v>
      </c>
      <c r="AL235" s="5">
        <v>4.6100000000000003</v>
      </c>
      <c r="AM235" s="5">
        <v>14053.59</v>
      </c>
      <c r="AN235" s="5">
        <v>2692.59</v>
      </c>
      <c r="AO235" s="5">
        <v>1.6666666666666667</v>
      </c>
      <c r="AP235" s="5">
        <v>9.01</v>
      </c>
      <c r="AQ235" s="5">
        <v>11.81</v>
      </c>
      <c r="AR235" s="5">
        <v>1.72</v>
      </c>
      <c r="AS235" s="5">
        <v>0.64</v>
      </c>
      <c r="AT235" s="5">
        <v>23.51</v>
      </c>
      <c r="AU235" s="5">
        <v>0.08</v>
      </c>
      <c r="AV235" s="5">
        <v>0.13</v>
      </c>
      <c r="AW235" s="5">
        <v>7.83</v>
      </c>
      <c r="AX235" s="5">
        <v>13.45</v>
      </c>
      <c r="AY235" s="5">
        <v>0.02</v>
      </c>
      <c r="BB235" s="5">
        <v>30.96</v>
      </c>
    </row>
    <row r="236" spans="1:54" x14ac:dyDescent="0.3">
      <c r="A236" s="1" t="s">
        <v>14</v>
      </c>
      <c r="B236" s="1" t="s">
        <v>15</v>
      </c>
      <c r="C236" s="1" t="s">
        <v>16</v>
      </c>
      <c r="D236" s="5">
        <v>43.114400000000003</v>
      </c>
      <c r="E236" s="5">
        <v>117.9661</v>
      </c>
      <c r="F236" s="1" t="s">
        <v>17</v>
      </c>
      <c r="G236" s="5" t="s">
        <v>299</v>
      </c>
      <c r="H236" s="5" t="s">
        <v>298</v>
      </c>
      <c r="I236" s="6">
        <v>1.055515895131975E-4</v>
      </c>
      <c r="J236" s="3" t="s">
        <v>445</v>
      </c>
      <c r="K236" s="5">
        <v>48.3</v>
      </c>
      <c r="L236" s="5">
        <v>0.153</v>
      </c>
      <c r="M236" s="5">
        <v>8.48</v>
      </c>
      <c r="N236" s="5">
        <v>8</v>
      </c>
      <c r="O236" s="5">
        <v>3.71</v>
      </c>
      <c r="P236" s="5">
        <v>2.08</v>
      </c>
      <c r="Q236" s="5">
        <v>16.8</v>
      </c>
      <c r="R236" s="5">
        <v>176</v>
      </c>
      <c r="W236" s="5">
        <v>28.9</v>
      </c>
      <c r="X236" s="5">
        <v>667</v>
      </c>
      <c r="Y236" s="5">
        <v>3.86</v>
      </c>
      <c r="Z236" s="5">
        <v>4.1100000000000003</v>
      </c>
      <c r="AA236" s="5">
        <v>1.23</v>
      </c>
      <c r="AB236" s="5">
        <v>46.6</v>
      </c>
      <c r="AC236" s="5">
        <v>2.5499999999999998</v>
      </c>
      <c r="AD236" s="5">
        <v>28</v>
      </c>
      <c r="AE236" s="5">
        <v>57.2</v>
      </c>
      <c r="AH236" s="5">
        <v>1.55</v>
      </c>
      <c r="AI236" s="5">
        <v>393</v>
      </c>
      <c r="AJ236" s="5">
        <v>23.2</v>
      </c>
      <c r="AK236" s="5">
        <v>206</v>
      </c>
      <c r="AL236" s="5">
        <v>4.53</v>
      </c>
      <c r="AM236" s="5">
        <v>13526.2</v>
      </c>
      <c r="AN236" s="5">
        <v>2683.86</v>
      </c>
      <c r="AO236" s="5">
        <v>1.6451612903225805</v>
      </c>
      <c r="AP236" s="5">
        <v>8.8800000000000008</v>
      </c>
      <c r="AQ236" s="5">
        <v>11.34</v>
      </c>
      <c r="AR236" s="5">
        <v>1.66</v>
      </c>
      <c r="AS236" s="5">
        <v>0.62</v>
      </c>
      <c r="AT236" s="5">
        <v>23.32</v>
      </c>
      <c r="AU236" s="5">
        <v>0.08</v>
      </c>
      <c r="AV236" s="5">
        <v>0.13</v>
      </c>
      <c r="AW236" s="5">
        <v>8.43</v>
      </c>
      <c r="AX236" s="5">
        <v>14.04</v>
      </c>
      <c r="AY236" s="5">
        <v>0.03</v>
      </c>
      <c r="BB236" s="5">
        <v>30.06</v>
      </c>
    </row>
    <row r="237" spans="1:54" x14ac:dyDescent="0.3">
      <c r="A237" s="1" t="s">
        <v>14</v>
      </c>
      <c r="B237" s="1" t="s">
        <v>15</v>
      </c>
      <c r="C237" s="1" t="s">
        <v>16</v>
      </c>
      <c r="D237" s="5">
        <v>43.114400000000003</v>
      </c>
      <c r="E237" s="5">
        <v>117.9661</v>
      </c>
      <c r="F237" s="1" t="s">
        <v>17</v>
      </c>
      <c r="G237" s="5" t="s">
        <v>300</v>
      </c>
      <c r="H237" s="5" t="s">
        <v>298</v>
      </c>
      <c r="I237" s="6">
        <v>4.2524778109509498E-5</v>
      </c>
      <c r="J237" s="3" t="s">
        <v>445</v>
      </c>
      <c r="K237" s="5">
        <v>47.39</v>
      </c>
      <c r="L237" s="5">
        <v>0.14599999999999999</v>
      </c>
      <c r="M237" s="5">
        <v>8.6</v>
      </c>
      <c r="N237" s="5">
        <v>9.18</v>
      </c>
      <c r="O237" s="5">
        <v>4.12</v>
      </c>
      <c r="P237" s="5">
        <v>1.81</v>
      </c>
      <c r="Q237" s="5">
        <v>17.100000000000001</v>
      </c>
      <c r="R237" s="5">
        <v>177</v>
      </c>
      <c r="W237" s="5">
        <v>23.9</v>
      </c>
      <c r="X237" s="5">
        <v>585</v>
      </c>
      <c r="Y237" s="5">
        <v>2.73</v>
      </c>
      <c r="Z237" s="5">
        <v>3.28</v>
      </c>
      <c r="AA237" s="5">
        <v>1</v>
      </c>
      <c r="AB237" s="5">
        <v>42.2</v>
      </c>
      <c r="AC237" s="5">
        <v>2.29</v>
      </c>
      <c r="AD237" s="5">
        <v>23.5</v>
      </c>
      <c r="AE237" s="5">
        <v>48.3</v>
      </c>
      <c r="AH237" s="5">
        <v>1.43</v>
      </c>
      <c r="AI237" s="5">
        <v>312</v>
      </c>
      <c r="AJ237" s="5">
        <v>21.7</v>
      </c>
      <c r="AK237" s="5">
        <v>181</v>
      </c>
      <c r="AL237" s="5">
        <v>4.0199999999999996</v>
      </c>
      <c r="AM237" s="5">
        <v>13166.62</v>
      </c>
      <c r="AN237" s="5">
        <v>2404.56</v>
      </c>
      <c r="AO237" s="5">
        <v>1.6013986013986015</v>
      </c>
      <c r="AP237" s="5">
        <v>8.34</v>
      </c>
      <c r="AQ237" s="5">
        <v>12.87</v>
      </c>
      <c r="AR237" s="5">
        <v>1.8</v>
      </c>
      <c r="AS237" s="5">
        <v>0.56999999999999995</v>
      </c>
      <c r="AT237" s="5">
        <v>23.49</v>
      </c>
      <c r="AU237" s="5">
        <v>0.06</v>
      </c>
      <c r="AV237" s="5">
        <v>0.11</v>
      </c>
      <c r="AW237" s="5">
        <v>7.39</v>
      </c>
      <c r="AX237" s="5">
        <v>13.28</v>
      </c>
      <c r="AY237" s="5">
        <v>0.02</v>
      </c>
      <c r="BB237" s="5">
        <v>29.51</v>
      </c>
    </row>
    <row r="238" spans="1:54" x14ac:dyDescent="0.3">
      <c r="A238" s="1" t="s">
        <v>14</v>
      </c>
      <c r="B238" s="1" t="s">
        <v>15</v>
      </c>
      <c r="C238" s="1" t="s">
        <v>16</v>
      </c>
      <c r="D238" s="5">
        <v>43.114400000000003</v>
      </c>
      <c r="E238" s="5">
        <v>117.9661</v>
      </c>
      <c r="F238" s="1" t="s">
        <v>17</v>
      </c>
      <c r="G238" s="5" t="s">
        <v>301</v>
      </c>
      <c r="H238" s="5" t="s">
        <v>298</v>
      </c>
      <c r="I238" s="6">
        <v>9.9523771496023983E-5</v>
      </c>
      <c r="J238" s="3" t="s">
        <v>445</v>
      </c>
      <c r="K238" s="5">
        <v>48.54</v>
      </c>
      <c r="L238" s="5">
        <v>0.152</v>
      </c>
      <c r="M238" s="5">
        <v>8.73</v>
      </c>
      <c r="N238" s="5">
        <v>7.94</v>
      </c>
      <c r="O238" s="5">
        <v>4.0599999999999996</v>
      </c>
      <c r="P238" s="5">
        <v>2.0299999999999998</v>
      </c>
      <c r="Q238" s="5">
        <v>16.8</v>
      </c>
      <c r="R238" s="5">
        <v>179</v>
      </c>
      <c r="W238" s="5">
        <v>27.4</v>
      </c>
      <c r="X238" s="5">
        <v>645</v>
      </c>
      <c r="Y238" s="5">
        <v>3.5</v>
      </c>
      <c r="Z238" s="5">
        <v>3.92</v>
      </c>
      <c r="AA238" s="5">
        <v>1.1599999999999999</v>
      </c>
      <c r="AB238" s="5">
        <v>45.9</v>
      </c>
      <c r="AC238" s="5">
        <v>2.4900000000000002</v>
      </c>
      <c r="AD238" s="5">
        <v>26.8</v>
      </c>
      <c r="AE238" s="5">
        <v>54.5</v>
      </c>
      <c r="AH238" s="5">
        <v>1.5</v>
      </c>
      <c r="AI238" s="5">
        <v>352</v>
      </c>
      <c r="AJ238" s="5">
        <v>22.6</v>
      </c>
      <c r="AK238" s="5">
        <v>200</v>
      </c>
      <c r="AL238" s="5">
        <v>4.3899999999999997</v>
      </c>
      <c r="AM238" s="5">
        <v>13508.22</v>
      </c>
      <c r="AN238" s="5">
        <v>2609.67</v>
      </c>
      <c r="AO238" s="5">
        <v>1.6600000000000001</v>
      </c>
      <c r="AP238" s="5">
        <v>8.85</v>
      </c>
      <c r="AQ238" s="5">
        <v>11.71</v>
      </c>
      <c r="AR238" s="5">
        <v>1.71</v>
      </c>
      <c r="AS238" s="5">
        <v>0.6</v>
      </c>
      <c r="AT238" s="5">
        <v>23.45</v>
      </c>
      <c r="AU238" s="5">
        <v>0.08</v>
      </c>
      <c r="AV238" s="5">
        <v>0.13</v>
      </c>
      <c r="AW238" s="5">
        <v>7.67</v>
      </c>
      <c r="AX238" s="5">
        <v>13.13</v>
      </c>
      <c r="AY238" s="5">
        <v>0.03</v>
      </c>
      <c r="BB238" s="5">
        <v>30.6</v>
      </c>
    </row>
    <row r="239" spans="1:54" x14ac:dyDescent="0.3">
      <c r="A239" s="1" t="s">
        <v>14</v>
      </c>
      <c r="B239" s="1" t="s">
        <v>15</v>
      </c>
      <c r="C239" s="1" t="s">
        <v>16</v>
      </c>
      <c r="D239" s="5">
        <v>43.114400000000003</v>
      </c>
      <c r="E239" s="5">
        <v>117.9661</v>
      </c>
      <c r="F239" s="1" t="s">
        <v>17</v>
      </c>
      <c r="G239" s="5" t="s">
        <v>302</v>
      </c>
      <c r="H239" s="5" t="s">
        <v>298</v>
      </c>
      <c r="I239" s="6">
        <v>3.073956177104264E-4</v>
      </c>
      <c r="J239" s="3" t="s">
        <v>445</v>
      </c>
      <c r="K239" s="5">
        <v>48.28</v>
      </c>
      <c r="L239" s="5">
        <v>0.14799999999999999</v>
      </c>
      <c r="M239" s="5">
        <v>8.49</v>
      </c>
      <c r="N239" s="5">
        <v>8.51</v>
      </c>
      <c r="O239" s="5">
        <v>3.98</v>
      </c>
      <c r="P239" s="5">
        <v>1.81</v>
      </c>
      <c r="Q239" s="5">
        <v>17.600000000000001</v>
      </c>
      <c r="R239" s="5">
        <v>183</v>
      </c>
      <c r="W239" s="5">
        <v>24.1</v>
      </c>
      <c r="X239" s="5">
        <v>605</v>
      </c>
      <c r="Y239" s="5">
        <v>2.92</v>
      </c>
      <c r="Z239" s="5">
        <v>3.4</v>
      </c>
      <c r="AA239" s="5">
        <v>1.01</v>
      </c>
      <c r="AB239" s="5">
        <v>43.2</v>
      </c>
      <c r="AC239" s="5">
        <v>2.33</v>
      </c>
      <c r="AD239" s="5">
        <v>24.3</v>
      </c>
      <c r="AE239" s="5">
        <v>49.6</v>
      </c>
      <c r="AH239" s="5">
        <v>1.47</v>
      </c>
      <c r="AI239" s="5">
        <v>339</v>
      </c>
      <c r="AJ239" s="5">
        <v>22</v>
      </c>
      <c r="AK239" s="5">
        <v>186</v>
      </c>
      <c r="AL239" s="5">
        <v>4.16</v>
      </c>
      <c r="AM239" s="5">
        <v>13388.36</v>
      </c>
      <c r="AN239" s="5">
        <v>2456.9299999999998</v>
      </c>
      <c r="AO239" s="5">
        <v>1.5850340136054422</v>
      </c>
      <c r="AP239" s="5">
        <v>8.4499999999999993</v>
      </c>
      <c r="AQ239" s="5">
        <v>12.71</v>
      </c>
      <c r="AR239" s="5">
        <v>1.78</v>
      </c>
      <c r="AS239" s="5">
        <v>0.56000000000000005</v>
      </c>
      <c r="AT239" s="5">
        <v>23.73</v>
      </c>
      <c r="AU239" s="5">
        <v>7.0000000000000007E-2</v>
      </c>
      <c r="AV239" s="5">
        <v>0.11</v>
      </c>
      <c r="AW239" s="5">
        <v>7.85</v>
      </c>
      <c r="AX239" s="5">
        <v>13.95</v>
      </c>
      <c r="AY239" s="5">
        <v>0.02</v>
      </c>
      <c r="BB239" s="5">
        <v>29.39</v>
      </c>
    </row>
    <row r="240" spans="1:54" x14ac:dyDescent="0.3">
      <c r="A240" s="1" t="s">
        <v>14</v>
      </c>
      <c r="B240" s="1" t="s">
        <v>15</v>
      </c>
      <c r="C240" s="1" t="s">
        <v>16</v>
      </c>
      <c r="D240" s="5">
        <v>43.114400000000003</v>
      </c>
      <c r="E240" s="5">
        <v>117.9661</v>
      </c>
      <c r="F240" s="1" t="s">
        <v>17</v>
      </c>
      <c r="G240" s="5" t="s">
        <v>303</v>
      </c>
      <c r="H240" s="5" t="s">
        <v>298</v>
      </c>
      <c r="I240" s="6">
        <v>5.5943841289263219E-5</v>
      </c>
      <c r="J240" s="3" t="s">
        <v>445</v>
      </c>
      <c r="K240" s="5">
        <v>47.8</v>
      </c>
      <c r="L240" s="5">
        <v>0.151</v>
      </c>
      <c r="M240" s="5">
        <v>8.3000000000000007</v>
      </c>
      <c r="N240" s="5">
        <v>8.73</v>
      </c>
      <c r="O240" s="5">
        <v>3.76</v>
      </c>
      <c r="P240" s="5">
        <v>1.74</v>
      </c>
      <c r="Q240" s="5">
        <v>16.899999999999999</v>
      </c>
      <c r="R240" s="5">
        <v>177</v>
      </c>
      <c r="W240" s="5">
        <v>22.4</v>
      </c>
      <c r="X240" s="5">
        <v>627</v>
      </c>
      <c r="Y240" s="5">
        <v>2.57</v>
      </c>
      <c r="Z240" s="5">
        <v>3.19</v>
      </c>
      <c r="AA240" s="5">
        <v>1.04</v>
      </c>
      <c r="AB240" s="5">
        <v>40.6</v>
      </c>
      <c r="AC240" s="5">
        <v>2.19</v>
      </c>
      <c r="AD240" s="5">
        <v>23.5</v>
      </c>
      <c r="AE240" s="5">
        <v>47.2</v>
      </c>
      <c r="AH240" s="5">
        <v>1.4</v>
      </c>
      <c r="AI240" s="5">
        <v>374</v>
      </c>
      <c r="AJ240" s="5">
        <v>21.4</v>
      </c>
      <c r="AK240" s="5">
        <v>177</v>
      </c>
      <c r="AL240" s="5">
        <v>3.94</v>
      </c>
      <c r="AM240" s="5">
        <v>13004.81</v>
      </c>
      <c r="AN240" s="5">
        <v>2408.9299999999998</v>
      </c>
      <c r="AO240" s="5">
        <v>1.5642857142857143</v>
      </c>
      <c r="AP240" s="5">
        <v>8.27</v>
      </c>
      <c r="AQ240" s="5">
        <v>12.73</v>
      </c>
      <c r="AR240" s="5">
        <v>1.73</v>
      </c>
      <c r="AS240" s="5">
        <v>0.55000000000000004</v>
      </c>
      <c r="AT240" s="5">
        <v>25.59</v>
      </c>
      <c r="AU240" s="5">
        <v>0.06</v>
      </c>
      <c r="AV240" s="5">
        <v>0.1</v>
      </c>
      <c r="AW240" s="5">
        <v>9.2100000000000009</v>
      </c>
      <c r="AX240" s="5">
        <v>15.91</v>
      </c>
      <c r="AY240" s="5">
        <v>0.03</v>
      </c>
      <c r="BB240" s="5">
        <v>29</v>
      </c>
    </row>
    <row r="241" spans="1:54" x14ac:dyDescent="0.3">
      <c r="A241" s="1" t="s">
        <v>14</v>
      </c>
      <c r="B241" s="1" t="s">
        <v>15</v>
      </c>
      <c r="C241" s="1" t="s">
        <v>16</v>
      </c>
      <c r="D241" s="5">
        <v>43.114400000000003</v>
      </c>
      <c r="E241" s="5">
        <v>117.9661</v>
      </c>
      <c r="F241" s="1" t="s">
        <v>17</v>
      </c>
      <c r="G241" s="5" t="s">
        <v>304</v>
      </c>
      <c r="H241" s="5" t="s">
        <v>298</v>
      </c>
      <c r="I241" s="6">
        <v>3.8214106461964548E-4</v>
      </c>
      <c r="J241" s="3" t="s">
        <v>445</v>
      </c>
      <c r="K241" s="5">
        <v>47.8</v>
      </c>
      <c r="L241" s="5">
        <v>0.153</v>
      </c>
      <c r="M241" s="5">
        <v>10.02</v>
      </c>
      <c r="N241" s="5">
        <v>8.8000000000000007</v>
      </c>
      <c r="O241" s="5">
        <v>3.81</v>
      </c>
      <c r="P241" s="5">
        <v>1.68</v>
      </c>
      <c r="Q241" s="5">
        <v>20.3</v>
      </c>
      <c r="R241" s="5">
        <v>189</v>
      </c>
      <c r="W241" s="5">
        <v>22.6</v>
      </c>
      <c r="X241" s="5">
        <v>665</v>
      </c>
      <c r="Y241" s="5">
        <v>2.48</v>
      </c>
      <c r="Z241" s="5">
        <v>3.01</v>
      </c>
      <c r="AA241" s="5">
        <v>0.95</v>
      </c>
      <c r="AB241" s="5">
        <v>39.1</v>
      </c>
      <c r="AC241" s="5">
        <v>2.1</v>
      </c>
      <c r="AD241" s="5">
        <v>21.7</v>
      </c>
      <c r="AE241" s="5">
        <v>44.5</v>
      </c>
      <c r="AH241" s="5">
        <v>1.34</v>
      </c>
      <c r="AI241" s="5">
        <v>337</v>
      </c>
      <c r="AJ241" s="5">
        <v>20.6</v>
      </c>
      <c r="AK241" s="5">
        <v>171</v>
      </c>
      <c r="AL241" s="5">
        <v>3.79</v>
      </c>
      <c r="AM241" s="5">
        <v>12872.96</v>
      </c>
      <c r="AN241" s="5">
        <v>2216.91</v>
      </c>
      <c r="AO241" s="5">
        <v>1.5671641791044777</v>
      </c>
      <c r="AP241" s="5">
        <v>8.3000000000000007</v>
      </c>
      <c r="AQ241" s="5">
        <v>12.99</v>
      </c>
      <c r="AR241" s="5">
        <v>1.8</v>
      </c>
      <c r="AS241" s="5">
        <v>0.57999999999999996</v>
      </c>
      <c r="AT241" s="5">
        <v>28.79</v>
      </c>
      <c r="AU241" s="5">
        <v>0.06</v>
      </c>
      <c r="AV241" s="5">
        <v>0.11</v>
      </c>
      <c r="AW241" s="5">
        <v>8.6199999999999992</v>
      </c>
      <c r="AX241" s="5">
        <v>15.53</v>
      </c>
      <c r="AY241" s="5">
        <v>0.02</v>
      </c>
      <c r="BB241" s="5">
        <v>29.18</v>
      </c>
    </row>
    <row r="242" spans="1:54" x14ac:dyDescent="0.3">
      <c r="A242" s="1" t="s">
        <v>14</v>
      </c>
      <c r="B242" s="1" t="s">
        <v>15</v>
      </c>
      <c r="C242" s="1" t="s">
        <v>16</v>
      </c>
      <c r="D242" s="5">
        <v>43.114400000000003</v>
      </c>
      <c r="E242" s="5">
        <v>117.9661</v>
      </c>
      <c r="F242" s="1" t="s">
        <v>17</v>
      </c>
      <c r="G242" s="5" t="s">
        <v>305</v>
      </c>
      <c r="H242" s="5" t="s">
        <v>298</v>
      </c>
      <c r="I242" s="6">
        <v>3.7705374415963888E-4</v>
      </c>
      <c r="J242" s="3" t="s">
        <v>445</v>
      </c>
      <c r="K242" s="5">
        <v>47.68</v>
      </c>
      <c r="L242" s="5">
        <v>0.152</v>
      </c>
      <c r="M242" s="5">
        <v>10.39</v>
      </c>
      <c r="N242" s="5">
        <v>9.52</v>
      </c>
      <c r="O242" s="5">
        <v>3.42</v>
      </c>
      <c r="P242" s="5">
        <v>1.57</v>
      </c>
      <c r="Q242" s="5">
        <v>23.3</v>
      </c>
      <c r="R242" s="5">
        <v>203</v>
      </c>
      <c r="W242" s="5">
        <v>20.399999999999999</v>
      </c>
      <c r="X242" s="5">
        <v>538</v>
      </c>
      <c r="Y242" s="5">
        <v>2.38</v>
      </c>
      <c r="Z242" s="5">
        <v>2.81</v>
      </c>
      <c r="AA242" s="5">
        <v>0.74</v>
      </c>
      <c r="AB242" s="5">
        <v>36.299999999999997</v>
      </c>
      <c r="AC242" s="5">
        <v>1.98</v>
      </c>
      <c r="AD242" s="5">
        <v>20.5</v>
      </c>
      <c r="AE242" s="5">
        <v>42.4</v>
      </c>
      <c r="AH242" s="5">
        <v>1.33</v>
      </c>
      <c r="AI242" s="5">
        <v>269</v>
      </c>
      <c r="AJ242" s="5">
        <v>20.3</v>
      </c>
      <c r="AK242" s="5">
        <v>162</v>
      </c>
      <c r="AL242" s="5">
        <v>3.7</v>
      </c>
      <c r="AM242" s="5">
        <v>12411.5</v>
      </c>
      <c r="AN242" s="5">
        <v>2182</v>
      </c>
      <c r="AO242" s="5">
        <v>1.488721804511278</v>
      </c>
      <c r="AP242" s="5">
        <v>7.98</v>
      </c>
      <c r="AQ242" s="5">
        <v>12.92</v>
      </c>
      <c r="AR242" s="5">
        <v>1.77</v>
      </c>
      <c r="AS242" s="5">
        <v>0.56000000000000005</v>
      </c>
      <c r="AT242" s="5">
        <v>24.02</v>
      </c>
      <c r="AU242" s="5">
        <v>7.0000000000000007E-2</v>
      </c>
      <c r="AV242" s="5">
        <v>0.11</v>
      </c>
      <c r="AW242" s="5">
        <v>7.41</v>
      </c>
      <c r="AX242" s="5">
        <v>13.12</v>
      </c>
      <c r="AY242" s="5">
        <v>0.02</v>
      </c>
      <c r="BB242" s="5">
        <v>27.29</v>
      </c>
    </row>
    <row r="243" spans="1:54" x14ac:dyDescent="0.3">
      <c r="A243" s="1" t="s">
        <v>14</v>
      </c>
      <c r="B243" s="1" t="s">
        <v>15</v>
      </c>
      <c r="C243" s="1" t="s">
        <v>16</v>
      </c>
      <c r="D243" s="5">
        <v>43.114400000000003</v>
      </c>
      <c r="E243" s="5">
        <v>117.9661</v>
      </c>
      <c r="F243" s="1" t="s">
        <v>17</v>
      </c>
      <c r="G243" s="5" t="s">
        <v>306</v>
      </c>
      <c r="H243" s="5" t="s">
        <v>298</v>
      </c>
      <c r="I243" s="6">
        <v>1.1465391435194761E-4</v>
      </c>
      <c r="J243" s="3" t="s">
        <v>445</v>
      </c>
      <c r="K243" s="5">
        <v>47.6</v>
      </c>
      <c r="L243" s="5">
        <v>0.156</v>
      </c>
      <c r="M243" s="5">
        <v>10.55</v>
      </c>
      <c r="N243" s="5">
        <v>8.5399999999999991</v>
      </c>
      <c r="O243" s="5">
        <v>3.95</v>
      </c>
      <c r="P243" s="5">
        <v>1.69</v>
      </c>
      <c r="Q243" s="5">
        <v>19.600000000000001</v>
      </c>
      <c r="R243" s="5">
        <v>185</v>
      </c>
      <c r="W243" s="5">
        <v>23.5</v>
      </c>
      <c r="X243" s="5">
        <v>690</v>
      </c>
      <c r="Y243" s="5">
        <v>2.91</v>
      </c>
      <c r="Z243" s="5">
        <v>3.18</v>
      </c>
      <c r="AA243" s="5">
        <v>0.95</v>
      </c>
      <c r="AB243" s="5">
        <v>39.9</v>
      </c>
      <c r="AC243" s="5">
        <v>2.15</v>
      </c>
      <c r="AD243" s="5">
        <v>22.6</v>
      </c>
      <c r="AE243" s="5">
        <v>46.4</v>
      </c>
      <c r="AH243" s="5">
        <v>1.42</v>
      </c>
      <c r="AI243" s="5">
        <v>287</v>
      </c>
      <c r="AJ243" s="5">
        <v>20.9</v>
      </c>
      <c r="AK243" s="5">
        <v>175</v>
      </c>
      <c r="AL243" s="5">
        <v>3.93</v>
      </c>
      <c r="AM243" s="5">
        <v>12393.52</v>
      </c>
      <c r="AN243" s="5">
        <v>2147.09</v>
      </c>
      <c r="AO243" s="5">
        <v>1.5140845070422535</v>
      </c>
      <c r="AP243" s="5">
        <v>8.3699999999999992</v>
      </c>
      <c r="AQ243" s="5">
        <v>12.55</v>
      </c>
      <c r="AR243" s="5">
        <v>1.77</v>
      </c>
      <c r="AS243" s="5">
        <v>0.59</v>
      </c>
      <c r="AT243" s="5">
        <v>28.75</v>
      </c>
      <c r="AU243" s="5">
        <v>7.0000000000000007E-2</v>
      </c>
      <c r="AV243" s="5">
        <v>0.12</v>
      </c>
      <c r="AW243" s="5">
        <v>7.19</v>
      </c>
      <c r="AX243" s="5">
        <v>12.7</v>
      </c>
      <c r="AY243" s="5">
        <v>0.02</v>
      </c>
      <c r="BB243" s="5">
        <v>28.1</v>
      </c>
    </row>
    <row r="244" spans="1:54" x14ac:dyDescent="0.3">
      <c r="A244" s="1" t="s">
        <v>14</v>
      </c>
      <c r="B244" s="1" t="s">
        <v>15</v>
      </c>
      <c r="C244" s="1" t="s">
        <v>16</v>
      </c>
      <c r="D244" s="5">
        <v>42</v>
      </c>
      <c r="E244" s="5">
        <v>119.25</v>
      </c>
      <c r="F244" s="1" t="s">
        <v>17</v>
      </c>
      <c r="G244" s="5" t="s">
        <v>307</v>
      </c>
      <c r="H244" s="5" t="s">
        <v>308</v>
      </c>
      <c r="I244" s="6">
        <v>2.5625948328524828E-3</v>
      </c>
      <c r="J244" s="3" t="s">
        <v>445</v>
      </c>
      <c r="K244" s="5">
        <v>50.86</v>
      </c>
      <c r="L244" s="5">
        <v>0.15</v>
      </c>
      <c r="M244" s="5">
        <v>7.49</v>
      </c>
      <c r="N244" s="5">
        <v>8.5</v>
      </c>
      <c r="O244" s="5">
        <v>2.64</v>
      </c>
      <c r="P244" s="5">
        <v>0.9</v>
      </c>
      <c r="Q244" s="5">
        <v>21.1</v>
      </c>
      <c r="W244" s="5">
        <v>14.8</v>
      </c>
      <c r="X244" s="5">
        <v>393</v>
      </c>
      <c r="Z244" s="5">
        <v>2.12</v>
      </c>
      <c r="AA244" s="5">
        <v>0.47</v>
      </c>
      <c r="AB244" s="5">
        <v>18.3</v>
      </c>
      <c r="AC244" s="5">
        <v>1.1299999999999999</v>
      </c>
      <c r="AD244" s="5">
        <v>18.899999999999999</v>
      </c>
      <c r="AE244" s="5">
        <v>39.700000000000003</v>
      </c>
      <c r="AH244" s="5">
        <v>1.69</v>
      </c>
      <c r="AI244" s="5">
        <v>228</v>
      </c>
      <c r="AJ244" s="5">
        <v>24.8</v>
      </c>
      <c r="AK244" s="5">
        <v>157</v>
      </c>
      <c r="AL244" s="5">
        <v>4.1100000000000003</v>
      </c>
      <c r="AM244" s="5">
        <v>13004.81</v>
      </c>
      <c r="AN244" s="5">
        <v>1483.76</v>
      </c>
      <c r="AO244" s="5">
        <v>0.66863905325443784</v>
      </c>
      <c r="AP244" s="5">
        <v>6.33</v>
      </c>
      <c r="AQ244" s="5">
        <v>8.6300000000000008</v>
      </c>
      <c r="AR244" s="5">
        <v>0.97</v>
      </c>
      <c r="AS244" s="5">
        <v>0.81</v>
      </c>
      <c r="AT244" s="5">
        <v>16.72</v>
      </c>
      <c r="AW244" s="5">
        <v>12.46</v>
      </c>
      <c r="AX244" s="5">
        <v>12.06</v>
      </c>
      <c r="AY244" s="5">
        <v>0.03</v>
      </c>
      <c r="BB244" s="5">
        <v>10.83</v>
      </c>
    </row>
    <row r="245" spans="1:54" x14ac:dyDescent="0.3">
      <c r="A245" s="1" t="s">
        <v>14</v>
      </c>
      <c r="B245" s="1" t="s">
        <v>15</v>
      </c>
      <c r="C245" s="1" t="s">
        <v>16</v>
      </c>
      <c r="D245" s="5">
        <v>42</v>
      </c>
      <c r="E245" s="5">
        <v>119.25</v>
      </c>
      <c r="F245" s="1" t="s">
        <v>17</v>
      </c>
      <c r="G245" s="5" t="s">
        <v>309</v>
      </c>
      <c r="H245" s="5" t="s">
        <v>308</v>
      </c>
      <c r="I245" s="6">
        <v>2.657162025570869E-3</v>
      </c>
      <c r="J245" s="3" t="s">
        <v>445</v>
      </c>
      <c r="K245" s="5">
        <v>50.87</v>
      </c>
      <c r="L245" s="5">
        <v>0.15</v>
      </c>
      <c r="M245" s="5">
        <v>7.46</v>
      </c>
      <c r="N245" s="5">
        <v>8.43</v>
      </c>
      <c r="O245" s="5">
        <v>2.65</v>
      </c>
      <c r="P245" s="5">
        <v>0.89</v>
      </c>
      <c r="Q245" s="5">
        <v>21</v>
      </c>
      <c r="W245" s="5">
        <v>14.5</v>
      </c>
      <c r="X245" s="5">
        <v>383</v>
      </c>
      <c r="Z245" s="5">
        <v>2.13</v>
      </c>
      <c r="AA245" s="5">
        <v>0.47</v>
      </c>
      <c r="AB245" s="5">
        <v>18.100000000000001</v>
      </c>
      <c r="AC245" s="5">
        <v>1.22</v>
      </c>
      <c r="AD245" s="5">
        <v>19</v>
      </c>
      <c r="AE245" s="5">
        <v>39.700000000000003</v>
      </c>
      <c r="AH245" s="5">
        <v>1.63</v>
      </c>
      <c r="AI245" s="5">
        <v>236</v>
      </c>
      <c r="AJ245" s="5">
        <v>24.7</v>
      </c>
      <c r="AK245" s="5">
        <v>156</v>
      </c>
      <c r="AL245" s="5">
        <v>4.04</v>
      </c>
      <c r="AM245" s="5">
        <v>13184.6</v>
      </c>
      <c r="AN245" s="5">
        <v>1527.4</v>
      </c>
      <c r="AO245" s="5">
        <v>0.74846625766871167</v>
      </c>
      <c r="AP245" s="5">
        <v>6.32</v>
      </c>
      <c r="AQ245" s="5">
        <v>8.5</v>
      </c>
      <c r="AR245" s="5">
        <v>0.95</v>
      </c>
      <c r="AS245" s="5">
        <v>0.8</v>
      </c>
      <c r="AT245" s="5">
        <v>16.3</v>
      </c>
      <c r="AW245" s="5">
        <v>13.04</v>
      </c>
      <c r="AX245" s="5">
        <v>12.42</v>
      </c>
      <c r="AY245" s="5">
        <v>0.03</v>
      </c>
      <c r="BB245" s="5">
        <v>11.1</v>
      </c>
    </row>
    <row r="246" spans="1:54" x14ac:dyDescent="0.3">
      <c r="A246" s="1" t="s">
        <v>14</v>
      </c>
      <c r="B246" s="1" t="s">
        <v>15</v>
      </c>
      <c r="C246" s="1" t="s">
        <v>16</v>
      </c>
      <c r="D246" s="5">
        <v>42</v>
      </c>
      <c r="E246" s="5">
        <v>119.25</v>
      </c>
      <c r="F246" s="1" t="s">
        <v>17</v>
      </c>
      <c r="G246" s="5" t="s">
        <v>310</v>
      </c>
      <c r="H246" s="5" t="s">
        <v>308</v>
      </c>
      <c r="I246" s="6">
        <v>7.4449679814279079E-3</v>
      </c>
      <c r="J246" s="3" t="s">
        <v>445</v>
      </c>
      <c r="K246" s="5">
        <v>50.88</v>
      </c>
      <c r="L246" s="5">
        <v>0.15</v>
      </c>
      <c r="M246" s="5">
        <v>7.42</v>
      </c>
      <c r="N246" s="5">
        <v>8.44</v>
      </c>
      <c r="O246" s="5">
        <v>2.66</v>
      </c>
      <c r="P246" s="5">
        <v>0.91</v>
      </c>
      <c r="Q246" s="5">
        <v>21</v>
      </c>
      <c r="W246" s="5">
        <v>14.7</v>
      </c>
      <c r="X246" s="5">
        <v>388</v>
      </c>
      <c r="Z246" s="5">
        <v>2.15</v>
      </c>
      <c r="AA246" s="5">
        <v>0.48</v>
      </c>
      <c r="AB246" s="5">
        <v>18.3</v>
      </c>
      <c r="AC246" s="5">
        <v>1.17</v>
      </c>
      <c r="AD246" s="5">
        <v>18.899999999999999</v>
      </c>
      <c r="AE246" s="5">
        <v>39.700000000000003</v>
      </c>
      <c r="AH246" s="5">
        <v>1.78</v>
      </c>
      <c r="AI246" s="5">
        <v>239</v>
      </c>
      <c r="AJ246" s="5">
        <v>24.8</v>
      </c>
      <c r="AK246" s="5">
        <v>158</v>
      </c>
      <c r="AL246" s="5">
        <v>4.01</v>
      </c>
      <c r="AM246" s="5">
        <v>13244.53</v>
      </c>
      <c r="AN246" s="5">
        <v>1527.4</v>
      </c>
      <c r="AO246" s="5">
        <v>0.65730337078651679</v>
      </c>
      <c r="AP246" s="5">
        <v>6.37</v>
      </c>
      <c r="AQ246" s="5">
        <v>8.51</v>
      </c>
      <c r="AR246" s="5">
        <v>0.97</v>
      </c>
      <c r="AS246" s="5">
        <v>0.8</v>
      </c>
      <c r="AT246" s="5">
        <v>16.649999999999999</v>
      </c>
      <c r="AW246" s="5">
        <v>13.06</v>
      </c>
      <c r="AX246" s="5">
        <v>12.65</v>
      </c>
      <c r="AY246" s="5">
        <v>0.03</v>
      </c>
      <c r="BB246" s="5">
        <v>10.28</v>
      </c>
    </row>
    <row r="247" spans="1:54" x14ac:dyDescent="0.3">
      <c r="A247" s="1" t="s">
        <v>14</v>
      </c>
      <c r="B247" s="1" t="s">
        <v>15</v>
      </c>
      <c r="C247" s="1" t="s">
        <v>16</v>
      </c>
      <c r="D247" s="5">
        <v>42</v>
      </c>
      <c r="E247" s="5">
        <v>119.25</v>
      </c>
      <c r="F247" s="1" t="s">
        <v>17</v>
      </c>
      <c r="G247" s="5" t="s">
        <v>311</v>
      </c>
      <c r="H247" s="5" t="s">
        <v>308</v>
      </c>
      <c r="I247" s="6">
        <v>2.4505567271262412E-3</v>
      </c>
      <c r="J247" s="3" t="s">
        <v>445</v>
      </c>
      <c r="K247" s="5">
        <v>50.92</v>
      </c>
      <c r="L247" s="5">
        <v>0.15</v>
      </c>
      <c r="M247" s="5">
        <v>7.4</v>
      </c>
      <c r="N247" s="5">
        <v>8.4700000000000006</v>
      </c>
      <c r="O247" s="5">
        <v>2.66</v>
      </c>
      <c r="P247" s="5">
        <v>0.89</v>
      </c>
      <c r="Q247" s="5">
        <v>20.7</v>
      </c>
      <c r="W247" s="5">
        <v>14.3</v>
      </c>
      <c r="X247" s="5">
        <v>386</v>
      </c>
      <c r="Z247" s="5">
        <v>2.16</v>
      </c>
      <c r="AA247" s="5">
        <v>0.49</v>
      </c>
      <c r="AB247" s="5">
        <v>18.5</v>
      </c>
      <c r="AC247" s="5">
        <v>1.21</v>
      </c>
      <c r="AD247" s="5">
        <v>19</v>
      </c>
      <c r="AE247" s="5">
        <v>40.700000000000003</v>
      </c>
      <c r="AH247" s="5">
        <v>1.66</v>
      </c>
      <c r="AI247" s="5">
        <v>240</v>
      </c>
      <c r="AJ247" s="5">
        <v>24.7</v>
      </c>
      <c r="AK247" s="5">
        <v>161</v>
      </c>
      <c r="AL247" s="5">
        <v>4.12</v>
      </c>
      <c r="AM247" s="5">
        <v>13424.32</v>
      </c>
      <c r="AN247" s="5">
        <v>1527.4</v>
      </c>
      <c r="AO247" s="5">
        <v>0.72891566265060237</v>
      </c>
      <c r="AP247" s="5">
        <v>6.52</v>
      </c>
      <c r="AQ247" s="5">
        <v>8.56</v>
      </c>
      <c r="AR247" s="5">
        <v>0.97</v>
      </c>
      <c r="AS247" s="5">
        <v>0.77</v>
      </c>
      <c r="AT247" s="5">
        <v>16.149999999999999</v>
      </c>
      <c r="AW247" s="5">
        <v>12.97</v>
      </c>
      <c r="AX247" s="5">
        <v>12.63</v>
      </c>
      <c r="AY247" s="5">
        <v>0.03</v>
      </c>
      <c r="BB247" s="5">
        <v>11.14</v>
      </c>
    </row>
    <row r="248" spans="1:54" x14ac:dyDescent="0.3">
      <c r="A248" s="1" t="s">
        <v>14</v>
      </c>
      <c r="B248" s="1" t="s">
        <v>15</v>
      </c>
      <c r="C248" s="1" t="s">
        <v>16</v>
      </c>
      <c r="D248" s="5">
        <v>42</v>
      </c>
      <c r="E248" s="5">
        <v>119.25</v>
      </c>
      <c r="F248" s="1" t="s">
        <v>17</v>
      </c>
      <c r="G248" s="5" t="s">
        <v>312</v>
      </c>
      <c r="H248" s="5" t="s">
        <v>308</v>
      </c>
      <c r="I248" s="6">
        <v>2.6935120113193989E-3</v>
      </c>
      <c r="J248" s="3" t="s">
        <v>445</v>
      </c>
      <c r="K248" s="5">
        <v>50.92</v>
      </c>
      <c r="L248" s="5">
        <v>0.15</v>
      </c>
      <c r="M248" s="5">
        <v>7.22</v>
      </c>
      <c r="N248" s="5">
        <v>8.3699999999999992</v>
      </c>
      <c r="O248" s="5">
        <v>2.72</v>
      </c>
      <c r="P248" s="5">
        <v>1.01</v>
      </c>
      <c r="Q248" s="5">
        <v>20.9</v>
      </c>
      <c r="W248" s="5">
        <v>16.2</v>
      </c>
      <c r="X248" s="5">
        <v>386</v>
      </c>
      <c r="Z248" s="5">
        <v>2.21</v>
      </c>
      <c r="AA248" s="5">
        <v>0.5</v>
      </c>
      <c r="AB248" s="5">
        <v>18.8</v>
      </c>
      <c r="AC248" s="5">
        <v>1.24</v>
      </c>
      <c r="AD248" s="5">
        <v>19.7</v>
      </c>
      <c r="AE248" s="5">
        <v>42.8</v>
      </c>
      <c r="AH248" s="5">
        <v>1.77</v>
      </c>
      <c r="AI248" s="5">
        <v>247</v>
      </c>
      <c r="AJ248" s="5">
        <v>25.8</v>
      </c>
      <c r="AK248" s="5">
        <v>163</v>
      </c>
      <c r="AL248" s="5">
        <v>4.17</v>
      </c>
      <c r="AM248" s="5">
        <v>13843.83</v>
      </c>
      <c r="AN248" s="5">
        <v>1571.04</v>
      </c>
      <c r="AO248" s="5">
        <v>0.70056497175141241</v>
      </c>
      <c r="AP248" s="5">
        <v>6.32</v>
      </c>
      <c r="AQ248" s="5">
        <v>8.51</v>
      </c>
      <c r="AR248" s="5">
        <v>0.95</v>
      </c>
      <c r="AS248" s="5">
        <v>0.86</v>
      </c>
      <c r="AT248" s="5">
        <v>16.02</v>
      </c>
      <c r="AW248" s="5">
        <v>13.14</v>
      </c>
      <c r="AX248" s="5">
        <v>12.54</v>
      </c>
      <c r="AY248" s="5">
        <v>0.03</v>
      </c>
      <c r="BB248" s="5">
        <v>10.62</v>
      </c>
    </row>
    <row r="249" spans="1:54" x14ac:dyDescent="0.3">
      <c r="A249" s="1" t="s">
        <v>14</v>
      </c>
      <c r="B249" s="1" t="s">
        <v>15</v>
      </c>
      <c r="C249" s="1" t="s">
        <v>16</v>
      </c>
      <c r="D249" s="5">
        <v>43.985900000000001</v>
      </c>
      <c r="E249" s="5">
        <v>114.75920000000001</v>
      </c>
      <c r="F249" s="1" t="s">
        <v>17</v>
      </c>
      <c r="G249" s="5" t="s">
        <v>313</v>
      </c>
      <c r="H249" s="5" t="s">
        <v>282</v>
      </c>
      <c r="I249" s="6">
        <v>1.2337975203990939E-4</v>
      </c>
      <c r="J249" s="3" t="s">
        <v>445</v>
      </c>
      <c r="K249" s="5">
        <v>48.254139896557902</v>
      </c>
      <c r="L249" s="5">
        <v>0.167450448862591</v>
      </c>
      <c r="M249" s="5">
        <v>7.7066491936239503</v>
      </c>
      <c r="N249" s="5">
        <v>8.9555077524434594</v>
      </c>
      <c r="O249" s="5">
        <v>3.0712520982315201</v>
      </c>
      <c r="P249" s="5">
        <v>1.0086809315160501</v>
      </c>
      <c r="Q249" s="5">
        <v>19.998000000000001</v>
      </c>
      <c r="R249" s="5">
        <v>221.4</v>
      </c>
      <c r="W249" s="5">
        <v>12.11</v>
      </c>
      <c r="X249" s="5">
        <v>512.4</v>
      </c>
      <c r="Y249" s="5">
        <v>0</v>
      </c>
      <c r="Z249" s="5">
        <v>1.76</v>
      </c>
      <c r="AA249" s="5">
        <v>0.47</v>
      </c>
      <c r="AB249" s="5">
        <v>43.42</v>
      </c>
      <c r="AC249" s="5">
        <v>2.73</v>
      </c>
      <c r="AD249" s="5">
        <v>20.86</v>
      </c>
      <c r="AE249" s="5">
        <v>43.18</v>
      </c>
      <c r="AH249" s="5">
        <v>1.5658000000000001</v>
      </c>
      <c r="AI249" s="5">
        <v>281.39999999999998</v>
      </c>
      <c r="AJ249" s="5">
        <v>25.78</v>
      </c>
      <c r="AK249" s="5">
        <v>209</v>
      </c>
      <c r="AL249" s="5">
        <v>5.1174999999999997</v>
      </c>
      <c r="AM249" s="5">
        <v>17925.87</v>
      </c>
      <c r="AN249" s="5">
        <v>2378.71</v>
      </c>
      <c r="AO249" s="5">
        <v>1.7435176906373737</v>
      </c>
      <c r="AP249" s="5">
        <v>8.11</v>
      </c>
      <c r="AQ249" s="5">
        <v>24.69</v>
      </c>
      <c r="AR249" s="5">
        <v>2.08</v>
      </c>
      <c r="AS249" s="5">
        <v>0.28000000000000003</v>
      </c>
      <c r="AT249" s="5">
        <v>20.16</v>
      </c>
      <c r="AU249" s="5">
        <v>0</v>
      </c>
      <c r="AV249" s="5">
        <v>0</v>
      </c>
      <c r="AW249" s="5">
        <v>6.48</v>
      </c>
      <c r="AX249" s="5">
        <v>13.49</v>
      </c>
      <c r="AY249" s="5">
        <v>0.01</v>
      </c>
      <c r="BB249" s="5">
        <v>27.73</v>
      </c>
    </row>
    <row r="250" spans="1:54" x14ac:dyDescent="0.3">
      <c r="A250" s="1" t="s">
        <v>14</v>
      </c>
      <c r="B250" s="1" t="s">
        <v>15</v>
      </c>
      <c r="C250" s="1" t="s">
        <v>16</v>
      </c>
      <c r="D250" s="5">
        <v>43.985900000000001</v>
      </c>
      <c r="E250" s="5">
        <v>114.75920000000001</v>
      </c>
      <c r="F250" s="1" t="s">
        <v>17</v>
      </c>
      <c r="G250" s="5" t="s">
        <v>314</v>
      </c>
      <c r="H250" s="5" t="s">
        <v>282</v>
      </c>
      <c r="I250" s="6">
        <v>1.729554969642777E-5</v>
      </c>
      <c r="J250" s="3" t="s">
        <v>445</v>
      </c>
      <c r="K250" s="5">
        <v>47.859579268311599</v>
      </c>
      <c r="L250" s="5">
        <v>0.17073749121158999</v>
      </c>
      <c r="M250" s="5">
        <v>8.9352333654310705</v>
      </c>
      <c r="N250" s="5">
        <v>9.8458581809084507</v>
      </c>
      <c r="O250" s="5">
        <v>2.9378008580603798</v>
      </c>
      <c r="P250" s="5">
        <v>1.35981477440523</v>
      </c>
      <c r="Q250" s="5">
        <v>20</v>
      </c>
      <c r="R250" s="5">
        <v>231.4</v>
      </c>
      <c r="W250" s="5">
        <v>22.96</v>
      </c>
      <c r="X250" s="5">
        <v>636.20000000000005</v>
      </c>
      <c r="Y250" s="5">
        <v>0</v>
      </c>
      <c r="Z250" s="5">
        <v>2.76</v>
      </c>
      <c r="AA250" s="5">
        <v>0.72</v>
      </c>
      <c r="AB250" s="5">
        <v>61.68</v>
      </c>
      <c r="AC250" s="5">
        <v>3.83</v>
      </c>
      <c r="AD250" s="5">
        <v>30.14</v>
      </c>
      <c r="AE250" s="5">
        <v>60.98</v>
      </c>
      <c r="AH250" s="5">
        <v>1.4754</v>
      </c>
      <c r="AI250" s="5">
        <v>398.8</v>
      </c>
      <c r="AJ250" s="5">
        <v>25.62</v>
      </c>
      <c r="AK250" s="5">
        <v>258.2</v>
      </c>
      <c r="AL250" s="5">
        <v>5.85</v>
      </c>
      <c r="AM250" s="5">
        <v>17456.78</v>
      </c>
      <c r="AN250" s="5">
        <v>2694.74</v>
      </c>
      <c r="AO250" s="5">
        <v>2.5959061949301883</v>
      </c>
      <c r="AP250" s="5">
        <v>10.08</v>
      </c>
      <c r="AQ250" s="5">
        <v>22.36</v>
      </c>
      <c r="AR250" s="5">
        <v>2.0499999999999998</v>
      </c>
      <c r="AS250" s="5">
        <v>0.37</v>
      </c>
      <c r="AT250" s="5">
        <v>19.670000000000002</v>
      </c>
      <c r="AU250" s="5">
        <v>0</v>
      </c>
      <c r="AV250" s="5">
        <v>0</v>
      </c>
      <c r="AW250" s="5">
        <v>6.47</v>
      </c>
      <c r="AX250" s="5">
        <v>13.23</v>
      </c>
      <c r="AY250" s="5">
        <v>0.01</v>
      </c>
      <c r="BB250" s="5">
        <v>41.81</v>
      </c>
    </row>
    <row r="251" spans="1:54" x14ac:dyDescent="0.3">
      <c r="A251" s="1" t="s">
        <v>14</v>
      </c>
      <c r="B251" s="1" t="s">
        <v>15</v>
      </c>
      <c r="C251" s="1" t="s">
        <v>16</v>
      </c>
      <c r="D251" s="5">
        <v>43.896799999999999</v>
      </c>
      <c r="E251" s="5">
        <v>114.3862</v>
      </c>
      <c r="F251" s="1" t="s">
        <v>17</v>
      </c>
      <c r="G251" s="5" t="s">
        <v>315</v>
      </c>
      <c r="H251" s="5" t="s">
        <v>282</v>
      </c>
      <c r="I251" s="6">
        <v>7.8726297942921519E-6</v>
      </c>
      <c r="J251" s="3" t="s">
        <v>445</v>
      </c>
      <c r="K251" s="5">
        <v>47.9090817288008</v>
      </c>
      <c r="L251" s="5">
        <v>0.16405546024152401</v>
      </c>
      <c r="M251" s="5">
        <v>9.3340274226939002</v>
      </c>
      <c r="N251" s="5">
        <v>8.62190883106374</v>
      </c>
      <c r="O251" s="5">
        <v>3.0067738994781101</v>
      </c>
      <c r="P251" s="5">
        <v>1.6821124161263801</v>
      </c>
      <c r="Q251" s="5">
        <v>17.077999999999999</v>
      </c>
      <c r="R251" s="5">
        <v>215.6</v>
      </c>
      <c r="W251" s="5">
        <v>30.72</v>
      </c>
      <c r="X251" s="5">
        <v>626.6</v>
      </c>
      <c r="Y251" s="5">
        <v>0</v>
      </c>
      <c r="Z251" s="5">
        <v>3.38</v>
      </c>
      <c r="AA251" s="5">
        <v>0.83</v>
      </c>
      <c r="AB251" s="5">
        <v>65.459999999999994</v>
      </c>
      <c r="AC251" s="5">
        <v>4.2</v>
      </c>
      <c r="AD251" s="5">
        <v>30.86</v>
      </c>
      <c r="AE251" s="5">
        <v>61.64</v>
      </c>
      <c r="AH251" s="5">
        <v>1.2442</v>
      </c>
      <c r="AI251" s="5">
        <v>450.6</v>
      </c>
      <c r="AJ251" s="5">
        <v>22.62</v>
      </c>
      <c r="AK251" s="5">
        <v>250.4</v>
      </c>
      <c r="AL251" s="5">
        <v>5.8224999999999998</v>
      </c>
      <c r="AM251" s="5">
        <v>17602.75</v>
      </c>
      <c r="AN251" s="5">
        <v>2880.24</v>
      </c>
      <c r="AO251" s="5">
        <v>3.3756630766757758</v>
      </c>
      <c r="AP251" s="5">
        <v>11.07</v>
      </c>
      <c r="AQ251" s="5">
        <v>19.37</v>
      </c>
      <c r="AR251" s="5">
        <v>2.12</v>
      </c>
      <c r="AS251" s="5">
        <v>0.47</v>
      </c>
      <c r="AT251" s="5">
        <v>19.45</v>
      </c>
      <c r="AU251" s="5">
        <v>0</v>
      </c>
      <c r="AV251" s="5">
        <v>0</v>
      </c>
      <c r="AW251" s="5">
        <v>6.88</v>
      </c>
      <c r="AX251" s="5">
        <v>14.6</v>
      </c>
      <c r="AY251" s="5">
        <v>0.01</v>
      </c>
      <c r="BB251" s="5">
        <v>52.61</v>
      </c>
    </row>
    <row r="252" spans="1:54" x14ac:dyDescent="0.3">
      <c r="A252" s="1" t="s">
        <v>14</v>
      </c>
      <c r="B252" s="1" t="s">
        <v>15</v>
      </c>
      <c r="C252" s="1" t="s">
        <v>16</v>
      </c>
      <c r="D252" s="5">
        <v>43.896799999999999</v>
      </c>
      <c r="E252" s="5">
        <v>114.3862</v>
      </c>
      <c r="F252" s="1" t="s">
        <v>17</v>
      </c>
      <c r="G252" s="5" t="s">
        <v>316</v>
      </c>
      <c r="H252" s="5" t="s">
        <v>282</v>
      </c>
      <c r="I252" s="6">
        <v>2.349111127841752E-5</v>
      </c>
      <c r="J252" s="3" t="s">
        <v>445</v>
      </c>
      <c r="K252" s="5">
        <v>49.137898367297097</v>
      </c>
      <c r="L252" s="5">
        <v>0.138737617493536</v>
      </c>
      <c r="M252" s="5">
        <v>7.8116716717484804</v>
      </c>
      <c r="N252" s="5">
        <v>8.4113679929838199</v>
      </c>
      <c r="O252" s="5">
        <v>3.2397376588360598</v>
      </c>
      <c r="P252" s="5">
        <v>1.61687761890112</v>
      </c>
      <c r="Q252" s="5">
        <v>17.626000000000001</v>
      </c>
      <c r="R252" s="5">
        <v>215.6</v>
      </c>
      <c r="W252" s="5">
        <v>30.46</v>
      </c>
      <c r="X252" s="5">
        <v>601.20000000000005</v>
      </c>
      <c r="Y252" s="5">
        <v>0</v>
      </c>
      <c r="Z252" s="5">
        <v>3.37</v>
      </c>
      <c r="AA252" s="5">
        <v>0.76</v>
      </c>
      <c r="AB252" s="5">
        <v>60.1</v>
      </c>
      <c r="AC252" s="5">
        <v>3.89</v>
      </c>
      <c r="AD252" s="5">
        <v>29.26</v>
      </c>
      <c r="AE252" s="5">
        <v>58.7</v>
      </c>
      <c r="AH252" s="5">
        <v>1.3351999999999999</v>
      </c>
      <c r="AI252" s="5">
        <v>402.6</v>
      </c>
      <c r="AJ252" s="5">
        <v>23.14</v>
      </c>
      <c r="AK252" s="5">
        <v>244.6</v>
      </c>
      <c r="AL252" s="5">
        <v>5.74</v>
      </c>
      <c r="AM252" s="5">
        <v>16980.900000000001</v>
      </c>
      <c r="AN252" s="5">
        <v>2672.22</v>
      </c>
      <c r="AO252" s="5">
        <v>2.9134212103055726</v>
      </c>
      <c r="AP252" s="5">
        <v>10.57</v>
      </c>
      <c r="AQ252" s="5">
        <v>17.829999999999998</v>
      </c>
      <c r="AR252" s="5">
        <v>2.0499999999999998</v>
      </c>
      <c r="AS252" s="5">
        <v>0.51</v>
      </c>
      <c r="AT252" s="5">
        <v>19.37</v>
      </c>
      <c r="AU252" s="5">
        <v>0</v>
      </c>
      <c r="AV252" s="5">
        <v>0</v>
      </c>
      <c r="AW252" s="5">
        <v>6.7</v>
      </c>
      <c r="AX252" s="5">
        <v>13.76</v>
      </c>
      <c r="AY252" s="5">
        <v>0.01</v>
      </c>
      <c r="BB252" s="5">
        <v>45.01</v>
      </c>
    </row>
    <row r="253" spans="1:54" x14ac:dyDescent="0.3">
      <c r="A253" s="1" t="s">
        <v>14</v>
      </c>
      <c r="B253" s="1" t="s">
        <v>15</v>
      </c>
      <c r="C253" s="1" t="s">
        <v>16</v>
      </c>
      <c r="D253" s="5">
        <v>43.914900000000003</v>
      </c>
      <c r="E253" s="5">
        <v>115.616</v>
      </c>
      <c r="F253" s="1" t="s">
        <v>17</v>
      </c>
      <c r="G253" s="5" t="s">
        <v>317</v>
      </c>
      <c r="H253" s="5" t="s">
        <v>282</v>
      </c>
      <c r="I253" s="6">
        <v>2.809494617395103E-5</v>
      </c>
      <c r="J253" s="3" t="s">
        <v>445</v>
      </c>
      <c r="K253" s="5">
        <v>47.239494626112098</v>
      </c>
      <c r="L253" s="5">
        <v>0.25599040102265103</v>
      </c>
      <c r="M253" s="5">
        <v>7.5108955758601796</v>
      </c>
      <c r="N253" s="5">
        <v>9.6862545313301904</v>
      </c>
      <c r="O253" s="5">
        <v>2.9932445811752202</v>
      </c>
      <c r="P253" s="5">
        <v>1.45010028300984</v>
      </c>
      <c r="Q253" s="5">
        <v>17.648</v>
      </c>
      <c r="R253" s="5">
        <v>240</v>
      </c>
      <c r="W253" s="5">
        <v>26.72</v>
      </c>
      <c r="X253" s="5">
        <v>859.2</v>
      </c>
      <c r="Y253" s="5">
        <v>0</v>
      </c>
      <c r="Z253" s="5">
        <v>4.1399999999999997</v>
      </c>
      <c r="AA253" s="5">
        <v>1.05</v>
      </c>
      <c r="AB253" s="5">
        <v>89.36</v>
      </c>
      <c r="AC253" s="5">
        <v>5.72</v>
      </c>
      <c r="AD253" s="5">
        <v>42.58</v>
      </c>
      <c r="AE253" s="5">
        <v>81.44</v>
      </c>
      <c r="AH253" s="5">
        <v>1.3478000000000001</v>
      </c>
      <c r="AI253" s="5">
        <v>785</v>
      </c>
      <c r="AJ253" s="5">
        <v>24.78</v>
      </c>
      <c r="AK253" s="5">
        <v>260</v>
      </c>
      <c r="AL253" s="5">
        <v>5.8224999999999998</v>
      </c>
      <c r="AM253" s="5">
        <v>18545.560000000001</v>
      </c>
      <c r="AN253" s="5">
        <v>3879.23</v>
      </c>
      <c r="AO253" s="5">
        <v>4.2439531087698468</v>
      </c>
      <c r="AP253" s="5">
        <v>10.49</v>
      </c>
      <c r="AQ253" s="5">
        <v>21.59</v>
      </c>
      <c r="AR253" s="5">
        <v>2.1</v>
      </c>
      <c r="AS253" s="5">
        <v>0.3</v>
      </c>
      <c r="AT253" s="5">
        <v>21.43</v>
      </c>
      <c r="AU253" s="5">
        <v>0</v>
      </c>
      <c r="AV253" s="5">
        <v>0</v>
      </c>
      <c r="AW253" s="5">
        <v>8.7799999999999994</v>
      </c>
      <c r="AX253" s="5">
        <v>18.440000000000001</v>
      </c>
      <c r="AY253" s="5">
        <v>0.01</v>
      </c>
      <c r="BB253" s="5">
        <v>66.3</v>
      </c>
    </row>
    <row r="254" spans="1:54" x14ac:dyDescent="0.3">
      <c r="A254" s="1" t="s">
        <v>14</v>
      </c>
      <c r="B254" s="1" t="s">
        <v>15</v>
      </c>
      <c r="C254" s="1" t="s">
        <v>16</v>
      </c>
      <c r="D254" s="5">
        <v>43.914900000000003</v>
      </c>
      <c r="E254" s="5">
        <v>115.616</v>
      </c>
      <c r="F254" s="1" t="s">
        <v>17</v>
      </c>
      <c r="G254" s="5" t="s">
        <v>318</v>
      </c>
      <c r="H254" s="5" t="s">
        <v>282</v>
      </c>
      <c r="I254" s="6">
        <v>1.0204518184764309E-4</v>
      </c>
      <c r="J254" s="3" t="s">
        <v>445</v>
      </c>
      <c r="K254" s="5">
        <v>45.973065043562301</v>
      </c>
      <c r="L254" s="5">
        <v>0.286625780497962</v>
      </c>
      <c r="M254" s="5">
        <v>7.8277683941020104</v>
      </c>
      <c r="N254" s="5">
        <v>10.562381746064201</v>
      </c>
      <c r="O254" s="5">
        <v>3.4441095586508599</v>
      </c>
      <c r="P254" s="5">
        <v>1.3966740528614301</v>
      </c>
      <c r="Q254" s="5">
        <v>16.914000000000001</v>
      </c>
      <c r="R254" s="5">
        <v>217.4</v>
      </c>
      <c r="W254" s="5">
        <v>25.48</v>
      </c>
      <c r="X254" s="5">
        <v>770.8</v>
      </c>
      <c r="Y254" s="5">
        <v>0</v>
      </c>
      <c r="Z254" s="5">
        <v>3.75</v>
      </c>
      <c r="AA254" s="5">
        <v>0.96</v>
      </c>
      <c r="AB254" s="5">
        <v>80.400000000000006</v>
      </c>
      <c r="AC254" s="5">
        <v>4.7300000000000004</v>
      </c>
      <c r="AD254" s="5">
        <v>39.020000000000003</v>
      </c>
      <c r="AE254" s="5">
        <v>74.760000000000005</v>
      </c>
      <c r="AH254" s="5">
        <v>1.2485999999999999</v>
      </c>
      <c r="AI254" s="5">
        <v>602.6</v>
      </c>
      <c r="AJ254" s="5">
        <v>23.06</v>
      </c>
      <c r="AK254" s="5">
        <v>239.2</v>
      </c>
      <c r="AL254" s="5">
        <v>5.2975000000000003</v>
      </c>
      <c r="AM254" s="5">
        <v>18047.45</v>
      </c>
      <c r="AN254" s="5">
        <v>3786.09</v>
      </c>
      <c r="AO254" s="5">
        <v>3.7882428319718091</v>
      </c>
      <c r="AP254" s="5">
        <v>10.37</v>
      </c>
      <c r="AQ254" s="5">
        <v>21.46</v>
      </c>
      <c r="AR254" s="5">
        <v>2.06</v>
      </c>
      <c r="AS254" s="5">
        <v>0.32</v>
      </c>
      <c r="AT254" s="5">
        <v>20.92</v>
      </c>
      <c r="AU254" s="5">
        <v>0</v>
      </c>
      <c r="AV254" s="5">
        <v>0</v>
      </c>
      <c r="AW254" s="5">
        <v>7.5</v>
      </c>
      <c r="AX254" s="5">
        <v>15.44</v>
      </c>
      <c r="AY254" s="5">
        <v>0.01</v>
      </c>
      <c r="BB254" s="5">
        <v>64.39</v>
      </c>
    </row>
    <row r="255" spans="1:54" x14ac:dyDescent="0.3">
      <c r="A255" s="1" t="s">
        <v>14</v>
      </c>
      <c r="B255" s="1" t="s">
        <v>15</v>
      </c>
      <c r="C255" s="1" t="s">
        <v>16</v>
      </c>
      <c r="D255" s="5">
        <v>43.914900000000003</v>
      </c>
      <c r="E255" s="5">
        <v>115.616</v>
      </c>
      <c r="F255" s="1" t="s">
        <v>17</v>
      </c>
      <c r="G255" s="5" t="s">
        <v>319</v>
      </c>
      <c r="H255" s="5" t="s">
        <v>282</v>
      </c>
      <c r="I255" s="6">
        <v>9.4167653514887206E-6</v>
      </c>
      <c r="J255" s="3" t="s">
        <v>445</v>
      </c>
      <c r="K255" s="5">
        <v>46.612981445991501</v>
      </c>
      <c r="L255" s="5">
        <v>0.178330950891431</v>
      </c>
      <c r="M255" s="5">
        <v>8.6727201851709399</v>
      </c>
      <c r="N255" s="5">
        <v>8.8473178051263908</v>
      </c>
      <c r="O255" s="5">
        <v>3.0865055765674798</v>
      </c>
      <c r="P255" s="5">
        <v>1.83937911470705</v>
      </c>
      <c r="Q255" s="5">
        <v>17.687999999999999</v>
      </c>
      <c r="R255" s="5">
        <v>225.4</v>
      </c>
      <c r="W255" s="5">
        <v>35.08</v>
      </c>
      <c r="X255" s="5">
        <v>820.6</v>
      </c>
      <c r="Y255" s="5">
        <v>0</v>
      </c>
      <c r="Z255" s="5">
        <v>4.13</v>
      </c>
      <c r="AA255" s="5">
        <v>0.96</v>
      </c>
      <c r="AB255" s="5">
        <v>88.12</v>
      </c>
      <c r="AC255" s="5">
        <v>5.24</v>
      </c>
      <c r="AD255" s="5">
        <v>42.5</v>
      </c>
      <c r="AE255" s="5">
        <v>81.16</v>
      </c>
      <c r="AH255" s="5">
        <v>1.3533999999999999</v>
      </c>
      <c r="AI255" s="5">
        <v>642.6</v>
      </c>
      <c r="AJ255" s="5">
        <v>24.8</v>
      </c>
      <c r="AK255" s="5">
        <v>259.2</v>
      </c>
      <c r="AL255" s="5">
        <v>5.7774999999999999</v>
      </c>
      <c r="AM255" s="5">
        <v>18670.82</v>
      </c>
      <c r="AN255" s="5">
        <v>3836.02</v>
      </c>
      <c r="AO255" s="5">
        <v>3.8717304566277528</v>
      </c>
      <c r="AP255" s="5">
        <v>10.45</v>
      </c>
      <c r="AQ255" s="5">
        <v>21.33</v>
      </c>
      <c r="AR255" s="5">
        <v>2.0699999999999998</v>
      </c>
      <c r="AS255" s="5">
        <v>0.4</v>
      </c>
      <c r="AT255" s="5">
        <v>20.55</v>
      </c>
      <c r="AU255" s="5">
        <v>0</v>
      </c>
      <c r="AV255" s="5">
        <v>0</v>
      </c>
      <c r="AW255" s="5">
        <v>7.29</v>
      </c>
      <c r="AX255" s="5">
        <v>15.12</v>
      </c>
      <c r="AY255" s="5">
        <v>0.01</v>
      </c>
      <c r="BB255" s="5">
        <v>65.11</v>
      </c>
    </row>
    <row r="256" spans="1:54" x14ac:dyDescent="0.3">
      <c r="A256" s="1" t="s">
        <v>14</v>
      </c>
      <c r="B256" s="1" t="s">
        <v>15</v>
      </c>
      <c r="C256" s="1" t="s">
        <v>16</v>
      </c>
      <c r="D256" s="5">
        <v>43.914900000000003</v>
      </c>
      <c r="E256" s="5">
        <v>115.616</v>
      </c>
      <c r="F256" s="1" t="s">
        <v>17</v>
      </c>
      <c r="G256" s="5" t="s">
        <v>320</v>
      </c>
      <c r="H256" s="5" t="s">
        <v>282</v>
      </c>
      <c r="I256" s="6">
        <v>9.9356220744084567E-5</v>
      </c>
      <c r="J256" s="3" t="s">
        <v>445</v>
      </c>
      <c r="K256" s="5">
        <v>46.154390730130601</v>
      </c>
      <c r="L256" s="5">
        <v>0.210116347507772</v>
      </c>
      <c r="M256" s="5">
        <v>7.9226235897272401</v>
      </c>
      <c r="N256" s="5">
        <v>9.2604565778655594</v>
      </c>
      <c r="O256" s="5">
        <v>3.3162746901225102</v>
      </c>
      <c r="P256" s="5">
        <v>1.52876849664602</v>
      </c>
      <c r="Q256" s="5">
        <v>18.074000000000002</v>
      </c>
      <c r="R256" s="5">
        <v>238.8</v>
      </c>
      <c r="W256" s="5">
        <v>24.3</v>
      </c>
      <c r="X256" s="5">
        <v>883.6</v>
      </c>
      <c r="Y256" s="5">
        <v>0</v>
      </c>
      <c r="Z256" s="5">
        <v>4.3600000000000003</v>
      </c>
      <c r="AA256" s="5">
        <v>0.85</v>
      </c>
      <c r="AB256" s="5">
        <v>91.7</v>
      </c>
      <c r="AC256" s="5">
        <v>5.46</v>
      </c>
      <c r="AD256" s="5">
        <v>43.94</v>
      </c>
      <c r="AE256" s="5">
        <v>84.08</v>
      </c>
      <c r="AH256" s="5">
        <v>1.3666</v>
      </c>
      <c r="AI256" s="5">
        <v>693.2</v>
      </c>
      <c r="AJ256" s="5">
        <v>25.68</v>
      </c>
      <c r="AK256" s="5">
        <v>268.2</v>
      </c>
      <c r="AL256" s="5">
        <v>6.0374999999999996</v>
      </c>
      <c r="AM256" s="5">
        <v>19485.349999999999</v>
      </c>
      <c r="AN256" s="5">
        <v>4044.53</v>
      </c>
      <c r="AO256" s="5">
        <v>3.9953168447241327</v>
      </c>
      <c r="AP256" s="5">
        <v>10.44</v>
      </c>
      <c r="AQ256" s="5">
        <v>21.01</v>
      </c>
      <c r="AR256" s="5">
        <v>2.09</v>
      </c>
      <c r="AS256" s="5">
        <v>0.26</v>
      </c>
      <c r="AT256" s="5">
        <v>21.37</v>
      </c>
      <c r="AU256" s="5">
        <v>0</v>
      </c>
      <c r="AV256" s="5">
        <v>0</v>
      </c>
      <c r="AW256" s="5">
        <v>7.56</v>
      </c>
      <c r="AX256" s="5">
        <v>15.78</v>
      </c>
      <c r="AY256" s="5">
        <v>0.01</v>
      </c>
      <c r="BB256" s="5">
        <v>67.099999999999994</v>
      </c>
    </row>
    <row r="257" spans="1:54" x14ac:dyDescent="0.3">
      <c r="A257" s="1" t="s">
        <v>14</v>
      </c>
      <c r="B257" s="1" t="s">
        <v>15</v>
      </c>
      <c r="C257" s="1" t="s">
        <v>16</v>
      </c>
      <c r="D257" s="5">
        <v>43.969200000000001</v>
      </c>
      <c r="E257" s="5">
        <v>114.2141</v>
      </c>
      <c r="F257" s="1" t="s">
        <v>17</v>
      </c>
      <c r="G257" s="5" t="s">
        <v>321</v>
      </c>
      <c r="H257" s="5" t="s">
        <v>282</v>
      </c>
      <c r="I257" s="6">
        <v>4.443847865331918E-5</v>
      </c>
      <c r="J257" s="3" t="s">
        <v>445</v>
      </c>
      <c r="K257" s="5">
        <v>48.706189275027498</v>
      </c>
      <c r="L257" s="5">
        <v>0.17186068234861199</v>
      </c>
      <c r="M257" s="5">
        <v>8.8329843001147399</v>
      </c>
      <c r="N257" s="5">
        <v>8.3454902175878196</v>
      </c>
      <c r="O257" s="5">
        <v>3.58184158133249</v>
      </c>
      <c r="P257" s="5">
        <v>1.0747369388439001</v>
      </c>
      <c r="Q257" s="5">
        <v>20.92</v>
      </c>
      <c r="R257" s="5">
        <v>226</v>
      </c>
      <c r="W257" s="5">
        <v>9.1300000000000008</v>
      </c>
      <c r="X257" s="5">
        <v>728.4</v>
      </c>
      <c r="Y257" s="5">
        <v>0</v>
      </c>
      <c r="Z257" s="5">
        <v>3.9</v>
      </c>
      <c r="AA257" s="5">
        <v>0.93</v>
      </c>
      <c r="AB257" s="5">
        <v>78.900000000000006</v>
      </c>
      <c r="AC257" s="5">
        <v>4.78</v>
      </c>
      <c r="AD257" s="5">
        <v>38.92</v>
      </c>
      <c r="AE257" s="5">
        <v>74.66</v>
      </c>
      <c r="AH257" s="5">
        <v>1.865</v>
      </c>
      <c r="AI257" s="5">
        <v>532.79999999999995</v>
      </c>
      <c r="AJ257" s="5">
        <v>29.56</v>
      </c>
      <c r="AK257" s="5">
        <v>272.60000000000002</v>
      </c>
      <c r="AL257" s="5">
        <v>6.1440000000000001</v>
      </c>
      <c r="AM257" s="5">
        <v>12933.94</v>
      </c>
      <c r="AN257" s="5">
        <v>2484.36</v>
      </c>
      <c r="AO257" s="5">
        <v>2.5630026809651474</v>
      </c>
      <c r="AP257" s="5">
        <v>9.2200000000000006</v>
      </c>
      <c r="AQ257" s="5">
        <v>20.23</v>
      </c>
      <c r="AR257" s="5">
        <v>2.0299999999999998</v>
      </c>
      <c r="AS257" s="5">
        <v>0.12</v>
      </c>
      <c r="AT257" s="5">
        <v>20.190000000000001</v>
      </c>
      <c r="AU257" s="5">
        <v>0</v>
      </c>
      <c r="AV257" s="5">
        <v>0</v>
      </c>
      <c r="AW257" s="5">
        <v>6.75</v>
      </c>
      <c r="AX257" s="5">
        <v>13.69</v>
      </c>
      <c r="AY257" s="5">
        <v>0.01</v>
      </c>
      <c r="BB257" s="5">
        <v>42.31</v>
      </c>
    </row>
    <row r="258" spans="1:54" x14ac:dyDescent="0.3">
      <c r="A258" s="1" t="s">
        <v>14</v>
      </c>
      <c r="B258" s="1" t="s">
        <v>15</v>
      </c>
      <c r="C258" s="1" t="s">
        <v>16</v>
      </c>
      <c r="D258" s="5">
        <v>43.969200000000001</v>
      </c>
      <c r="E258" s="5">
        <v>114.2141</v>
      </c>
      <c r="F258" s="1" t="s">
        <v>17</v>
      </c>
      <c r="G258" s="5" t="s">
        <v>322</v>
      </c>
      <c r="H258" s="5" t="s">
        <v>282</v>
      </c>
      <c r="I258" s="6">
        <v>7.0508569478988647E-5</v>
      </c>
      <c r="J258" s="3" t="s">
        <v>445</v>
      </c>
      <c r="K258" s="5">
        <v>48.272923197795201</v>
      </c>
      <c r="L258" s="5">
        <v>0.17843146339823601</v>
      </c>
      <c r="M258" s="5">
        <v>8.9698171179358503</v>
      </c>
      <c r="N258" s="5">
        <v>8.4022929825402208</v>
      </c>
      <c r="O258" s="5">
        <v>3.4880845148745201</v>
      </c>
      <c r="P258" s="5">
        <v>1.0617722167043699</v>
      </c>
      <c r="Q258" s="5">
        <v>20.435611763525046</v>
      </c>
      <c r="R258" s="5">
        <v>220.21479474054001</v>
      </c>
      <c r="W258" s="5">
        <v>13.53</v>
      </c>
      <c r="X258" s="5">
        <v>708.62</v>
      </c>
      <c r="Y258" s="5">
        <v>0</v>
      </c>
      <c r="Z258" s="5">
        <v>3.69</v>
      </c>
      <c r="AA258" s="5">
        <v>0.89</v>
      </c>
      <c r="AB258" s="5">
        <v>75.56</v>
      </c>
      <c r="AC258" s="5">
        <v>4.55</v>
      </c>
      <c r="AD258" s="5">
        <v>37.82</v>
      </c>
      <c r="AE258" s="5">
        <v>72.569999999999993</v>
      </c>
      <c r="AH258" s="5">
        <v>1.8325805480277</v>
      </c>
      <c r="AI258" s="5">
        <v>693.57</v>
      </c>
      <c r="AJ258" s="5">
        <v>28.91</v>
      </c>
      <c r="AK258" s="5">
        <v>261.37</v>
      </c>
      <c r="AL258" s="5">
        <v>5.8753387533875348</v>
      </c>
      <c r="AM258" s="5">
        <v>13083.61</v>
      </c>
      <c r="AN258" s="5">
        <v>2521.16</v>
      </c>
      <c r="AO258" s="5">
        <v>2.4828376602037494</v>
      </c>
      <c r="AP258" s="5">
        <v>9.0399999999999991</v>
      </c>
      <c r="AQ258" s="5">
        <v>20.5</v>
      </c>
      <c r="AR258" s="5">
        <v>2</v>
      </c>
      <c r="AS258" s="5">
        <v>0.18</v>
      </c>
      <c r="AT258" s="5">
        <v>20.170000000000002</v>
      </c>
      <c r="AU258" s="5">
        <v>0</v>
      </c>
      <c r="AV258" s="5">
        <v>0</v>
      </c>
      <c r="AW258" s="5">
        <v>9.18</v>
      </c>
      <c r="AX258" s="5">
        <v>18.34</v>
      </c>
      <c r="AY258" s="5">
        <v>0.01</v>
      </c>
      <c r="BB258" s="5">
        <v>41.23</v>
      </c>
    </row>
    <row r="259" spans="1:54" x14ac:dyDescent="0.3">
      <c r="A259" s="1" t="s">
        <v>14</v>
      </c>
      <c r="B259" s="1" t="s">
        <v>15</v>
      </c>
      <c r="C259" s="1" t="s">
        <v>16</v>
      </c>
      <c r="D259" s="5">
        <v>43.969200000000001</v>
      </c>
      <c r="E259" s="5">
        <v>114.2141</v>
      </c>
      <c r="F259" s="1" t="s">
        <v>17</v>
      </c>
      <c r="G259" s="5" t="s">
        <v>323</v>
      </c>
      <c r="H259" s="5" t="s">
        <v>282</v>
      </c>
      <c r="I259" s="6">
        <v>4.340794839663431E-5</v>
      </c>
      <c r="J259" s="3" t="s">
        <v>445</v>
      </c>
      <c r="K259" s="5">
        <v>48.407386460878101</v>
      </c>
      <c r="L259" s="5">
        <v>0.16839116258800499</v>
      </c>
      <c r="M259" s="5">
        <v>9.3371151391795504</v>
      </c>
      <c r="N259" s="5">
        <v>8.7078061449790507</v>
      </c>
      <c r="O259" s="5">
        <v>2.9461425558775902</v>
      </c>
      <c r="P259" s="5">
        <v>0.97412302838121101</v>
      </c>
      <c r="Q259" s="5">
        <v>22.78</v>
      </c>
      <c r="R259" s="5">
        <v>210.8</v>
      </c>
      <c r="W259" s="5">
        <v>18.77</v>
      </c>
      <c r="X259" s="5">
        <v>434</v>
      </c>
      <c r="Y259" s="5">
        <v>0</v>
      </c>
      <c r="Z259" s="5">
        <v>2.04</v>
      </c>
      <c r="AA259" s="5">
        <v>0.5</v>
      </c>
      <c r="AB259" s="5">
        <v>43.94</v>
      </c>
      <c r="AC259" s="5">
        <v>2.65</v>
      </c>
      <c r="AD259" s="5">
        <v>21.7</v>
      </c>
      <c r="AE259" s="5">
        <v>41.56</v>
      </c>
      <c r="AH259" s="5">
        <v>1.7654000000000001</v>
      </c>
      <c r="AI259" s="5">
        <v>395.8</v>
      </c>
      <c r="AJ259" s="5">
        <v>24.84</v>
      </c>
      <c r="AK259" s="5">
        <v>169.94</v>
      </c>
      <c r="AL259" s="5">
        <v>4.0007999999999999</v>
      </c>
      <c r="AM259" s="5">
        <v>11792.09</v>
      </c>
      <c r="AN259" s="5">
        <v>1647.27</v>
      </c>
      <c r="AO259" s="5">
        <v>1.5010762433442844</v>
      </c>
      <c r="AP259" s="5">
        <v>6.84</v>
      </c>
      <c r="AQ259" s="5">
        <v>21.54</v>
      </c>
      <c r="AR259" s="5">
        <v>2.02</v>
      </c>
      <c r="AS259" s="5">
        <v>0.43</v>
      </c>
      <c r="AT259" s="5">
        <v>20.36</v>
      </c>
      <c r="AU259" s="5">
        <v>0</v>
      </c>
      <c r="AV259" s="5">
        <v>0</v>
      </c>
      <c r="AW259" s="5">
        <v>9.01</v>
      </c>
      <c r="AX259" s="5">
        <v>18.239999999999998</v>
      </c>
      <c r="AY259" s="5">
        <v>0.01</v>
      </c>
      <c r="BB259" s="5">
        <v>24.89</v>
      </c>
    </row>
    <row r="260" spans="1:54" x14ac:dyDescent="0.3">
      <c r="A260" s="1" t="s">
        <v>14</v>
      </c>
      <c r="B260" s="1" t="s">
        <v>15</v>
      </c>
      <c r="C260" s="1" t="s">
        <v>16</v>
      </c>
      <c r="D260" s="5">
        <v>43.969200000000001</v>
      </c>
      <c r="E260" s="5">
        <v>114.2141</v>
      </c>
      <c r="F260" s="1" t="s">
        <v>17</v>
      </c>
      <c r="G260" s="5" t="s">
        <v>324</v>
      </c>
      <c r="H260" s="5" t="s">
        <v>282</v>
      </c>
      <c r="I260" s="6">
        <v>5.0456568715162582E-5</v>
      </c>
      <c r="J260" s="3" t="s">
        <v>445</v>
      </c>
      <c r="K260" s="5">
        <v>48.858982832704001</v>
      </c>
      <c r="L260" s="5">
        <v>0.17201219356775499</v>
      </c>
      <c r="M260" s="5">
        <v>9.5837330274830101</v>
      </c>
      <c r="N260" s="5">
        <v>8.7558909671147198</v>
      </c>
      <c r="O260" s="5">
        <v>2.9636089893294599</v>
      </c>
      <c r="P260" s="5">
        <v>0.97856753168531996</v>
      </c>
      <c r="Q260" s="5">
        <v>22.88</v>
      </c>
      <c r="R260" s="5">
        <v>221</v>
      </c>
      <c r="W260" s="5">
        <v>18.14</v>
      </c>
      <c r="X260" s="5">
        <v>435.8</v>
      </c>
      <c r="Y260" s="5">
        <v>0</v>
      </c>
      <c r="Z260" s="5">
        <v>2</v>
      </c>
      <c r="AA260" s="5">
        <v>0.48</v>
      </c>
      <c r="AB260" s="5">
        <v>44.34</v>
      </c>
      <c r="AC260" s="5">
        <v>2.68</v>
      </c>
      <c r="AD260" s="5">
        <v>21.04</v>
      </c>
      <c r="AE260" s="5">
        <v>41.18</v>
      </c>
      <c r="AH260" s="5">
        <v>1.7831999999999999</v>
      </c>
      <c r="AI260" s="5">
        <v>317</v>
      </c>
      <c r="AJ260" s="5">
        <v>24.88</v>
      </c>
      <c r="AK260" s="5">
        <v>166.68</v>
      </c>
      <c r="AL260" s="5">
        <v>3.9239999999999999</v>
      </c>
      <c r="AM260" s="5">
        <v>12007.1</v>
      </c>
      <c r="AN260" s="5">
        <v>1710.37</v>
      </c>
      <c r="AO260" s="5">
        <v>1.502916105877075</v>
      </c>
      <c r="AP260" s="5">
        <v>6.7</v>
      </c>
      <c r="AQ260" s="5">
        <v>22.17</v>
      </c>
      <c r="AR260" s="5">
        <v>2.11</v>
      </c>
      <c r="AS260" s="5">
        <v>0.41</v>
      </c>
      <c r="AT260" s="5">
        <v>20.5</v>
      </c>
      <c r="AU260" s="5">
        <v>0</v>
      </c>
      <c r="AV260" s="5">
        <v>0</v>
      </c>
      <c r="AW260" s="5">
        <v>7.15</v>
      </c>
      <c r="AX260" s="5">
        <v>15.07</v>
      </c>
      <c r="AY260" s="5">
        <v>0.01</v>
      </c>
      <c r="BB260" s="5">
        <v>24.87</v>
      </c>
    </row>
    <row r="261" spans="1:54" x14ac:dyDescent="0.3">
      <c r="A261" s="1" t="s">
        <v>14</v>
      </c>
      <c r="B261" s="1" t="s">
        <v>15</v>
      </c>
      <c r="C261" s="1" t="s">
        <v>16</v>
      </c>
      <c r="D261" s="5">
        <v>43.969200000000001</v>
      </c>
      <c r="E261" s="5">
        <v>114.2141</v>
      </c>
      <c r="F261" s="1" t="s">
        <v>17</v>
      </c>
      <c r="G261" s="5" t="s">
        <v>325</v>
      </c>
      <c r="H261" s="5" t="s">
        <v>282</v>
      </c>
      <c r="I261" s="6">
        <v>4.5314089220482863E-5</v>
      </c>
      <c r="J261" s="3" t="s">
        <v>445</v>
      </c>
      <c r="K261" s="5">
        <v>48.754997581943201</v>
      </c>
      <c r="L261" s="5">
        <v>0.17029707324159199</v>
      </c>
      <c r="M261" s="5">
        <v>8.7840502824275699</v>
      </c>
      <c r="N261" s="5">
        <v>8.4593971546856395</v>
      </c>
      <c r="O261" s="5">
        <v>3.44630962988023</v>
      </c>
      <c r="P261" s="5">
        <v>1.1098825792226401</v>
      </c>
      <c r="Q261" s="5">
        <v>19.856000000000002</v>
      </c>
      <c r="R261" s="5">
        <v>213.4</v>
      </c>
      <c r="W261" s="5">
        <v>7.43</v>
      </c>
      <c r="X261" s="5">
        <v>668.8</v>
      </c>
      <c r="Y261" s="5">
        <v>0</v>
      </c>
      <c r="Z261" s="5">
        <v>3.39</v>
      </c>
      <c r="AA261" s="5">
        <v>0.79</v>
      </c>
      <c r="AB261" s="5">
        <v>70.14</v>
      </c>
      <c r="AC261" s="5">
        <v>4.21</v>
      </c>
      <c r="AD261" s="5">
        <v>35.22</v>
      </c>
      <c r="AE261" s="5">
        <v>67.599999999999994</v>
      </c>
      <c r="AH261" s="5">
        <v>1.6934</v>
      </c>
      <c r="AI261" s="5">
        <v>516.20000000000005</v>
      </c>
      <c r="AJ261" s="5">
        <v>27.36</v>
      </c>
      <c r="AK261" s="5">
        <v>246</v>
      </c>
      <c r="AL261" s="5">
        <v>5.4455999999999998</v>
      </c>
      <c r="AM261" s="5">
        <v>12734.73</v>
      </c>
      <c r="AN261" s="5">
        <v>2415.4299999999998</v>
      </c>
      <c r="AO261" s="5">
        <v>2.4861225935986773</v>
      </c>
      <c r="AP261" s="5">
        <v>8.99</v>
      </c>
      <c r="AQ261" s="5">
        <v>20.71</v>
      </c>
      <c r="AR261" s="5">
        <v>1.99</v>
      </c>
      <c r="AS261" s="5">
        <v>0.11</v>
      </c>
      <c r="AT261" s="5">
        <v>20.440000000000001</v>
      </c>
      <c r="AU261" s="5">
        <v>0</v>
      </c>
      <c r="AV261" s="5">
        <v>0</v>
      </c>
      <c r="AW261" s="5">
        <v>7.36</v>
      </c>
      <c r="AX261" s="5">
        <v>14.66</v>
      </c>
      <c r="AY261" s="5">
        <v>0.01</v>
      </c>
      <c r="BB261" s="5">
        <v>41.42</v>
      </c>
    </row>
    <row r="262" spans="1:54" x14ac:dyDescent="0.3">
      <c r="A262" s="1" t="s">
        <v>14</v>
      </c>
      <c r="B262" s="1" t="s">
        <v>15</v>
      </c>
      <c r="C262" s="1" t="s">
        <v>16</v>
      </c>
      <c r="D262" s="5">
        <v>43.969200000000001</v>
      </c>
      <c r="E262" s="5">
        <v>114.2141</v>
      </c>
      <c r="F262" s="1" t="s">
        <v>17</v>
      </c>
      <c r="G262" s="5" t="s">
        <v>326</v>
      </c>
      <c r="H262" s="5" t="s">
        <v>282</v>
      </c>
      <c r="I262" s="6">
        <v>5.8654768508858979E-5</v>
      </c>
      <c r="J262" s="3" t="s">
        <v>445</v>
      </c>
      <c r="K262" s="5">
        <v>48.034051376517503</v>
      </c>
      <c r="L262" s="5">
        <v>0.163951400819283</v>
      </c>
      <c r="M262" s="5">
        <v>11.8263471973133</v>
      </c>
      <c r="N262" s="5">
        <v>8.5414419774257695</v>
      </c>
      <c r="O262" s="5">
        <v>2.9920219787943201</v>
      </c>
      <c r="P262" s="5">
        <v>1.1245614470098</v>
      </c>
      <c r="Q262" s="5">
        <v>18.861999999999998</v>
      </c>
      <c r="R262" s="5">
        <v>205.8</v>
      </c>
      <c r="W262" s="5">
        <v>22.9</v>
      </c>
      <c r="X262" s="5">
        <v>518.79999999999995</v>
      </c>
      <c r="Y262" s="5">
        <v>0</v>
      </c>
      <c r="Z262" s="5">
        <v>2.62</v>
      </c>
      <c r="AA262" s="5">
        <v>0.64</v>
      </c>
      <c r="AB262" s="5">
        <v>58.76</v>
      </c>
      <c r="AC262" s="5">
        <v>3.46</v>
      </c>
      <c r="AD262" s="5">
        <v>27.7</v>
      </c>
      <c r="AE262" s="5">
        <v>53.42</v>
      </c>
      <c r="AH262" s="5">
        <v>1.4654</v>
      </c>
      <c r="AI262" s="5">
        <v>421.4</v>
      </c>
      <c r="AJ262" s="5">
        <v>23.46</v>
      </c>
      <c r="AK262" s="5">
        <v>186.84</v>
      </c>
      <c r="AL262" s="5">
        <v>4.3704000000000001</v>
      </c>
      <c r="AM262" s="5">
        <v>13006.1</v>
      </c>
      <c r="AN262" s="5">
        <v>2469.88</v>
      </c>
      <c r="AO262" s="5">
        <v>2.3611300668759383</v>
      </c>
      <c r="AP262" s="5">
        <v>7.96</v>
      </c>
      <c r="AQ262" s="5">
        <v>22.39</v>
      </c>
      <c r="AR262" s="5">
        <v>2.12</v>
      </c>
      <c r="AS262" s="5">
        <v>0.39</v>
      </c>
      <c r="AT262" s="5">
        <v>19.43</v>
      </c>
      <c r="AU262" s="5">
        <v>0</v>
      </c>
      <c r="AV262" s="5">
        <v>0</v>
      </c>
      <c r="AW262" s="5">
        <v>7.17</v>
      </c>
      <c r="AX262" s="5">
        <v>15.21</v>
      </c>
      <c r="AY262" s="5">
        <v>0.01</v>
      </c>
      <c r="BB262" s="5">
        <v>40.1</v>
      </c>
    </row>
    <row r="263" spans="1:54" x14ac:dyDescent="0.3">
      <c r="A263" s="1" t="s">
        <v>14</v>
      </c>
      <c r="B263" s="1" t="s">
        <v>15</v>
      </c>
      <c r="C263" s="1" t="s">
        <v>16</v>
      </c>
      <c r="D263" s="5">
        <v>43.969200000000001</v>
      </c>
      <c r="E263" s="5">
        <v>114.2141</v>
      </c>
      <c r="F263" s="1" t="s">
        <v>17</v>
      </c>
      <c r="G263" s="5" t="s">
        <v>327</v>
      </c>
      <c r="H263" s="5" t="s">
        <v>282</v>
      </c>
      <c r="I263" s="6">
        <v>8.3750499470625073E-5</v>
      </c>
      <c r="J263" s="3" t="s">
        <v>445</v>
      </c>
      <c r="K263" s="5">
        <v>45.1302256290316</v>
      </c>
      <c r="L263" s="5">
        <v>0.193022310456028</v>
      </c>
      <c r="M263" s="5">
        <v>9.6595548164720508</v>
      </c>
      <c r="N263" s="5">
        <v>9.9633580283949108</v>
      </c>
      <c r="O263" s="5">
        <v>2.96768603982366</v>
      </c>
      <c r="P263" s="5">
        <v>0.98927984284243997</v>
      </c>
      <c r="Q263" s="5">
        <v>21.44</v>
      </c>
      <c r="R263" s="5">
        <v>237.2</v>
      </c>
      <c r="W263" s="5">
        <v>14.93</v>
      </c>
      <c r="X263" s="5">
        <v>593.4</v>
      </c>
      <c r="Y263" s="5">
        <v>0</v>
      </c>
      <c r="Z263" s="5">
        <v>2.98</v>
      </c>
      <c r="AA263" s="5">
        <v>0.7</v>
      </c>
      <c r="AB263" s="5">
        <v>65.98</v>
      </c>
      <c r="AC263" s="5">
        <v>3.97</v>
      </c>
      <c r="AD263" s="5">
        <v>30.64</v>
      </c>
      <c r="AE263" s="5">
        <v>58.74</v>
      </c>
      <c r="AH263" s="5">
        <v>1.7088000000000001</v>
      </c>
      <c r="AI263" s="5">
        <v>414</v>
      </c>
      <c r="AJ263" s="5">
        <v>26.7</v>
      </c>
      <c r="AK263" s="5">
        <v>192.86</v>
      </c>
      <c r="AL263" s="5">
        <v>4.4471999999999996</v>
      </c>
      <c r="AM263" s="5">
        <v>15595.52</v>
      </c>
      <c r="AN263" s="5">
        <v>2883.8</v>
      </c>
      <c r="AO263" s="5">
        <v>2.3232677902621721</v>
      </c>
      <c r="AP263" s="5">
        <v>7.22</v>
      </c>
      <c r="AQ263" s="5">
        <v>22.17</v>
      </c>
      <c r="AR263" s="5">
        <v>2.15</v>
      </c>
      <c r="AS263" s="5">
        <v>0.23</v>
      </c>
      <c r="AT263" s="5">
        <v>20.43</v>
      </c>
      <c r="AU263" s="5">
        <v>0</v>
      </c>
      <c r="AV263" s="5">
        <v>0</v>
      </c>
      <c r="AW263" s="5">
        <v>6.27</v>
      </c>
      <c r="AX263" s="5">
        <v>13.51</v>
      </c>
      <c r="AY263" s="5">
        <v>0.01</v>
      </c>
      <c r="BB263" s="5">
        <v>38.61</v>
      </c>
    </row>
    <row r="264" spans="1:54" x14ac:dyDescent="0.3">
      <c r="A264" s="1" t="s">
        <v>14</v>
      </c>
      <c r="B264" s="1" t="s">
        <v>15</v>
      </c>
      <c r="C264" s="1" t="s">
        <v>16</v>
      </c>
      <c r="D264" s="5">
        <v>43.536499999999997</v>
      </c>
      <c r="E264" s="5">
        <v>116.1234</v>
      </c>
      <c r="F264" s="1" t="s">
        <v>17</v>
      </c>
      <c r="G264" s="5" t="s">
        <v>328</v>
      </c>
      <c r="H264" s="5" t="s">
        <v>282</v>
      </c>
      <c r="I264" s="6">
        <v>2.5580488727428019E-4</v>
      </c>
      <c r="J264" s="3" t="s">
        <v>445</v>
      </c>
      <c r="K264" s="5">
        <v>49.902948525052601</v>
      </c>
      <c r="L264" s="5">
        <v>0.14952071353172999</v>
      </c>
      <c r="M264" s="5">
        <v>7.6011232308451104</v>
      </c>
      <c r="N264" s="5">
        <v>8.5276066237315398</v>
      </c>
      <c r="O264" s="5">
        <v>3.1161888784237002</v>
      </c>
      <c r="P264" s="5">
        <v>1.1275165580153299</v>
      </c>
      <c r="Q264" s="5">
        <v>17.664000000000001</v>
      </c>
      <c r="R264" s="5">
        <v>198.32</v>
      </c>
      <c r="W264" s="5">
        <v>15.87</v>
      </c>
      <c r="X264" s="5">
        <v>392.6</v>
      </c>
      <c r="Y264" s="5">
        <v>0</v>
      </c>
      <c r="Z264" s="5">
        <v>1.87</v>
      </c>
      <c r="AA264" s="5">
        <v>0.48</v>
      </c>
      <c r="AB264" s="5">
        <v>35.06</v>
      </c>
      <c r="AC264" s="5">
        <v>2.06</v>
      </c>
      <c r="AD264" s="5">
        <v>15.45</v>
      </c>
      <c r="AE264" s="5">
        <v>30.56</v>
      </c>
      <c r="AH264" s="5">
        <v>1.2216</v>
      </c>
      <c r="AI264" s="5">
        <v>268.2</v>
      </c>
      <c r="AJ264" s="5">
        <v>19.399999999999999</v>
      </c>
      <c r="AK264" s="5">
        <v>146.32</v>
      </c>
      <c r="AL264" s="5">
        <v>3.5496000000000003</v>
      </c>
      <c r="AM264" s="5">
        <v>14363.11</v>
      </c>
      <c r="AN264" s="5">
        <v>1651.78</v>
      </c>
      <c r="AO264" s="5">
        <v>1.6863130320890636</v>
      </c>
      <c r="AP264" s="5">
        <v>7.54</v>
      </c>
      <c r="AQ264" s="5">
        <v>18.73</v>
      </c>
      <c r="AR264" s="5">
        <v>2.27</v>
      </c>
      <c r="AS264" s="5">
        <v>0.45</v>
      </c>
      <c r="AT264" s="5">
        <v>22.06</v>
      </c>
      <c r="AU264" s="5">
        <v>0</v>
      </c>
      <c r="AV264" s="5">
        <v>0</v>
      </c>
      <c r="AW264" s="5">
        <v>7.65</v>
      </c>
      <c r="AX264" s="5">
        <v>17.36</v>
      </c>
      <c r="AY264" s="5">
        <v>0.01</v>
      </c>
      <c r="BB264" s="5">
        <v>28.7</v>
      </c>
    </row>
    <row r="265" spans="1:54" x14ac:dyDescent="0.3">
      <c r="A265" s="1" t="s">
        <v>14</v>
      </c>
      <c r="B265" s="1" t="s">
        <v>15</v>
      </c>
      <c r="C265" s="1" t="s">
        <v>16</v>
      </c>
      <c r="D265" s="5">
        <v>43.536499999999997</v>
      </c>
      <c r="E265" s="5">
        <v>116.1234</v>
      </c>
      <c r="F265" s="1" t="s">
        <v>17</v>
      </c>
      <c r="G265" s="5" t="s">
        <v>329</v>
      </c>
      <c r="H265" s="5" t="s">
        <v>282</v>
      </c>
      <c r="I265" s="6">
        <v>1.0385084897279739E-4</v>
      </c>
      <c r="J265" s="3" t="s">
        <v>445</v>
      </c>
      <c r="K265" s="5">
        <v>49.859323912000598</v>
      </c>
      <c r="L265" s="5">
        <v>0.15332640048033599</v>
      </c>
      <c r="M265" s="5">
        <v>7.4417708299848302</v>
      </c>
      <c r="N265" s="5">
        <v>8.4246652118650101</v>
      </c>
      <c r="O265" s="5">
        <v>3.24243093300649</v>
      </c>
      <c r="P265" s="5">
        <v>1.1993126484705401</v>
      </c>
      <c r="Q265" s="5">
        <v>19.326000000000001</v>
      </c>
      <c r="R265" s="5">
        <v>202.6</v>
      </c>
      <c r="W265" s="5">
        <v>21.52</v>
      </c>
      <c r="X265" s="5">
        <v>408.8</v>
      </c>
      <c r="Y265" s="5">
        <v>0</v>
      </c>
      <c r="Z265" s="5">
        <v>1.98</v>
      </c>
      <c r="AA265" s="5">
        <v>0.57999999999999996</v>
      </c>
      <c r="AB265" s="5">
        <v>36.82</v>
      </c>
      <c r="AC265" s="5">
        <v>2.17</v>
      </c>
      <c r="AD265" s="5">
        <v>16</v>
      </c>
      <c r="AE265" s="5">
        <v>32.46</v>
      </c>
      <c r="AH265" s="5">
        <v>1.3160000000000001</v>
      </c>
      <c r="AI265" s="5">
        <v>317.8</v>
      </c>
      <c r="AJ265" s="5">
        <v>20.78</v>
      </c>
      <c r="AK265" s="5">
        <v>158.12</v>
      </c>
      <c r="AL265" s="5">
        <v>3.8351999999999999</v>
      </c>
      <c r="AM265" s="5">
        <v>14608.63</v>
      </c>
      <c r="AN265" s="5">
        <v>1653.97</v>
      </c>
      <c r="AO265" s="5">
        <v>1.6489361702127658</v>
      </c>
      <c r="AP265" s="5">
        <v>7.61</v>
      </c>
      <c r="AQ265" s="5">
        <v>18.61</v>
      </c>
      <c r="AR265" s="5">
        <v>2.2999999999999998</v>
      </c>
      <c r="AS265" s="5">
        <v>0.57999999999999996</v>
      </c>
      <c r="AT265" s="5">
        <v>22</v>
      </c>
      <c r="AU265" s="5">
        <v>0</v>
      </c>
      <c r="AV265" s="5">
        <v>0</v>
      </c>
      <c r="AW265" s="5">
        <v>8.6300000000000008</v>
      </c>
      <c r="AX265" s="5">
        <v>19.86</v>
      </c>
      <c r="AY265" s="5">
        <v>0.02</v>
      </c>
      <c r="BB265" s="5">
        <v>27.98</v>
      </c>
    </row>
    <row r="266" spans="1:54" x14ac:dyDescent="0.3">
      <c r="A266" s="1" t="s">
        <v>14</v>
      </c>
      <c r="B266" s="1" t="s">
        <v>15</v>
      </c>
      <c r="C266" s="1" t="s">
        <v>16</v>
      </c>
      <c r="D266" s="5">
        <v>44</v>
      </c>
      <c r="E266" s="5">
        <v>115</v>
      </c>
      <c r="F266" s="1" t="s">
        <v>17</v>
      </c>
      <c r="G266" s="5" t="s">
        <v>330</v>
      </c>
      <c r="H266" s="5" t="s">
        <v>331</v>
      </c>
      <c r="I266" s="6">
        <v>9.8475713457446545E-5</v>
      </c>
      <c r="J266" s="3" t="s">
        <v>445</v>
      </c>
      <c r="K266" s="5">
        <v>47.06</v>
      </c>
      <c r="L266" s="5">
        <v>0.16</v>
      </c>
      <c r="M266" s="5">
        <v>9.57</v>
      </c>
      <c r="N266" s="5">
        <v>8.9600000000000009</v>
      </c>
      <c r="O266" s="5">
        <v>3.61</v>
      </c>
      <c r="P266" s="5">
        <v>1.28</v>
      </c>
      <c r="Q266" s="5">
        <v>21.41</v>
      </c>
      <c r="R266" s="5">
        <v>203.94</v>
      </c>
      <c r="W266" s="5">
        <v>18.100000000000001</v>
      </c>
      <c r="X266" s="5">
        <v>773.9</v>
      </c>
      <c r="Y266" s="5">
        <v>3.5</v>
      </c>
      <c r="Z266" s="5">
        <v>5.81</v>
      </c>
      <c r="AA266" s="5">
        <v>1.18</v>
      </c>
      <c r="AB266" s="5">
        <v>56.93</v>
      </c>
      <c r="AC266" s="5">
        <v>3.52</v>
      </c>
      <c r="AD266" s="5">
        <v>42.12</v>
      </c>
      <c r="AE266" s="5">
        <v>79.3</v>
      </c>
      <c r="AH266" s="5">
        <v>1.83</v>
      </c>
      <c r="AI266" s="5">
        <v>594.5</v>
      </c>
      <c r="AJ266" s="5">
        <v>23.9</v>
      </c>
      <c r="AK266" s="5">
        <v>217.2</v>
      </c>
      <c r="AL266" s="5">
        <v>5.46</v>
      </c>
      <c r="AM266" s="5">
        <v>15581.8</v>
      </c>
      <c r="AN266" s="5">
        <v>3403.92</v>
      </c>
      <c r="AO266" s="5">
        <v>1.9234972677595628</v>
      </c>
      <c r="AP266" s="5">
        <v>9.09</v>
      </c>
      <c r="AQ266" s="5">
        <v>9.8000000000000007</v>
      </c>
      <c r="AR266" s="5">
        <v>1.35</v>
      </c>
      <c r="AS266" s="5">
        <v>0.32</v>
      </c>
      <c r="AT266" s="5">
        <v>18.96</v>
      </c>
      <c r="AU266" s="5">
        <v>0.06</v>
      </c>
      <c r="AV266" s="5">
        <v>0.09</v>
      </c>
      <c r="AW266" s="5">
        <v>10.44</v>
      </c>
      <c r="AX266" s="5">
        <v>14.11</v>
      </c>
      <c r="AY266" s="5">
        <v>0.02</v>
      </c>
      <c r="BB266" s="5">
        <v>31.11</v>
      </c>
    </row>
    <row r="267" spans="1:54" x14ac:dyDescent="0.3">
      <c r="A267" s="1" t="s">
        <v>14</v>
      </c>
      <c r="B267" s="1" t="s">
        <v>15</v>
      </c>
      <c r="C267" s="1" t="s">
        <v>16</v>
      </c>
      <c r="D267" s="5">
        <v>44</v>
      </c>
      <c r="E267" s="5">
        <v>115</v>
      </c>
      <c r="F267" s="1" t="s">
        <v>17</v>
      </c>
      <c r="G267" s="5" t="s">
        <v>332</v>
      </c>
      <c r="H267" s="5" t="s">
        <v>331</v>
      </c>
      <c r="I267" s="6">
        <v>2.923849388025701E-4</v>
      </c>
      <c r="J267" s="3" t="s">
        <v>445</v>
      </c>
      <c r="K267" s="5">
        <v>45.51</v>
      </c>
      <c r="L267" s="5">
        <v>0.17</v>
      </c>
      <c r="M267" s="5">
        <v>9.81</v>
      </c>
      <c r="N267" s="5">
        <v>10.69</v>
      </c>
      <c r="O267" s="5">
        <v>2.59</v>
      </c>
      <c r="P267" s="5">
        <v>1.24</v>
      </c>
      <c r="Q267" s="5">
        <v>25.23</v>
      </c>
      <c r="R267" s="5">
        <v>222.92</v>
      </c>
      <c r="W267" s="5">
        <v>20.7</v>
      </c>
      <c r="X267" s="5">
        <v>663</v>
      </c>
      <c r="Y267" s="5">
        <v>2.6</v>
      </c>
      <c r="Z267" s="5">
        <v>3.59</v>
      </c>
      <c r="AA267" s="5">
        <v>0.92</v>
      </c>
      <c r="AB267" s="5">
        <v>39.590000000000003</v>
      </c>
      <c r="AC267" s="5">
        <v>2.56</v>
      </c>
      <c r="AD267" s="5">
        <v>32.15</v>
      </c>
      <c r="AE267" s="5">
        <v>64.8</v>
      </c>
      <c r="AH267" s="5">
        <v>1.71</v>
      </c>
      <c r="AI267" s="5">
        <v>430</v>
      </c>
      <c r="AJ267" s="5">
        <v>25</v>
      </c>
      <c r="AK267" s="5">
        <v>210.5</v>
      </c>
      <c r="AL267" s="5">
        <v>5.64</v>
      </c>
      <c r="AM267" s="5">
        <v>17439.63</v>
      </c>
      <c r="AN267" s="5">
        <v>2531.12</v>
      </c>
      <c r="AO267" s="5">
        <v>1.497076023391813</v>
      </c>
      <c r="AP267" s="5">
        <v>8.42</v>
      </c>
      <c r="AQ267" s="5">
        <v>11.03</v>
      </c>
      <c r="AR267" s="5">
        <v>1.23</v>
      </c>
      <c r="AS267" s="5">
        <v>0.52</v>
      </c>
      <c r="AT267" s="5">
        <v>18.95</v>
      </c>
      <c r="AU267" s="5">
        <v>7.0000000000000007E-2</v>
      </c>
      <c r="AV267" s="5">
        <v>7.0000000000000007E-2</v>
      </c>
      <c r="AW267" s="5">
        <v>10.86</v>
      </c>
      <c r="AX267" s="5">
        <v>13.37</v>
      </c>
      <c r="AY267" s="5">
        <v>0.02</v>
      </c>
      <c r="BB267" s="5">
        <v>23.15</v>
      </c>
    </row>
    <row r="268" spans="1:54" x14ac:dyDescent="0.3">
      <c r="A268" s="1" t="s">
        <v>14</v>
      </c>
      <c r="B268" s="1" t="s">
        <v>15</v>
      </c>
      <c r="C268" s="1" t="s">
        <v>16</v>
      </c>
      <c r="D268" s="5">
        <v>44.29</v>
      </c>
      <c r="E268" s="5">
        <v>115.5</v>
      </c>
      <c r="F268" s="1" t="s">
        <v>17</v>
      </c>
      <c r="G268" s="5" t="s">
        <v>333</v>
      </c>
      <c r="H268" s="5" t="s">
        <v>334</v>
      </c>
      <c r="I268" s="6">
        <v>9.999047324527055E-5</v>
      </c>
      <c r="J268" s="3" t="s">
        <v>445</v>
      </c>
      <c r="K268" s="5">
        <v>45.49</v>
      </c>
      <c r="L268" s="5">
        <v>0.17</v>
      </c>
      <c r="M268" s="5">
        <v>8.1999999999999993</v>
      </c>
      <c r="N268" s="5">
        <v>9.51</v>
      </c>
      <c r="O268" s="5">
        <v>3.55</v>
      </c>
      <c r="P268" s="5">
        <v>1.37</v>
      </c>
      <c r="Q268" s="5">
        <v>19.059999999999999</v>
      </c>
      <c r="R268" s="5">
        <v>233.6</v>
      </c>
      <c r="W268" s="5">
        <v>19.55</v>
      </c>
      <c r="X268" s="5">
        <v>920.5</v>
      </c>
      <c r="Y268" s="5">
        <v>2.84</v>
      </c>
      <c r="Z268" s="5">
        <v>5.27</v>
      </c>
      <c r="AA268" s="5">
        <v>1.26</v>
      </c>
      <c r="AB268" s="5">
        <v>62.52</v>
      </c>
      <c r="AC268" s="5">
        <v>3.67</v>
      </c>
      <c r="AD268" s="5">
        <v>47.53</v>
      </c>
      <c r="AE268" s="5">
        <v>100.7</v>
      </c>
      <c r="AH268" s="5">
        <v>1.66</v>
      </c>
      <c r="AI268" s="5">
        <v>738.5</v>
      </c>
      <c r="AJ268" s="5">
        <v>25.84</v>
      </c>
      <c r="AK268" s="5">
        <v>264.39999999999998</v>
      </c>
      <c r="AL268" s="5">
        <v>5.88</v>
      </c>
      <c r="AM268" s="5">
        <v>19776.900000000001</v>
      </c>
      <c r="AN268" s="5">
        <v>4058.52</v>
      </c>
      <c r="AO268" s="5">
        <v>2.2108433734939759</v>
      </c>
      <c r="AP268" s="5">
        <v>10.23</v>
      </c>
      <c r="AQ268" s="5">
        <v>11.86</v>
      </c>
      <c r="AR268" s="5">
        <v>1.32</v>
      </c>
      <c r="AS268" s="5">
        <v>0.31</v>
      </c>
      <c r="AT268" s="5">
        <v>17.899999999999999</v>
      </c>
      <c r="AU268" s="5">
        <v>0.05</v>
      </c>
      <c r="AV268" s="5">
        <v>0.06</v>
      </c>
      <c r="AW268" s="5">
        <v>11.81</v>
      </c>
      <c r="AX268" s="5">
        <v>15.54</v>
      </c>
      <c r="AY268" s="5">
        <v>0.02</v>
      </c>
      <c r="BB268" s="5">
        <v>37.659999999999997</v>
      </c>
    </row>
    <row r="269" spans="1:54" x14ac:dyDescent="0.3">
      <c r="A269" s="1" t="s">
        <v>14</v>
      </c>
      <c r="B269" s="1" t="s">
        <v>15</v>
      </c>
      <c r="C269" s="1" t="s">
        <v>16</v>
      </c>
      <c r="D269" s="5">
        <v>44.29</v>
      </c>
      <c r="E269" s="5">
        <v>115.5</v>
      </c>
      <c r="F269" s="1" t="s">
        <v>17</v>
      </c>
      <c r="G269" s="5" t="s">
        <v>335</v>
      </c>
      <c r="H269" s="5" t="s">
        <v>334</v>
      </c>
      <c r="I269" s="6">
        <v>1.008467152132653E-4</v>
      </c>
      <c r="J269" s="3" t="s">
        <v>445</v>
      </c>
      <c r="K269" s="5">
        <v>45.83</v>
      </c>
      <c r="L269" s="5">
        <v>0.15</v>
      </c>
      <c r="M269" s="5">
        <v>8.2899999999999991</v>
      </c>
      <c r="N269" s="5">
        <v>8.3800000000000008</v>
      </c>
      <c r="O269" s="5">
        <v>4.5599999999999996</v>
      </c>
      <c r="P269" s="5">
        <v>1.64</v>
      </c>
      <c r="Q269" s="5">
        <v>16.07</v>
      </c>
      <c r="R269" s="5">
        <v>214.5</v>
      </c>
      <c r="W269" s="5">
        <v>28.55</v>
      </c>
      <c r="X269" s="5">
        <v>1132.7</v>
      </c>
      <c r="Y269" s="5">
        <v>4.32</v>
      </c>
      <c r="Z269" s="5">
        <v>6.47</v>
      </c>
      <c r="AA269" s="5">
        <v>1.3</v>
      </c>
      <c r="AB269" s="5">
        <v>77.150000000000006</v>
      </c>
      <c r="AC269" s="5">
        <v>4.91</v>
      </c>
      <c r="AD269" s="5">
        <v>59.65</v>
      </c>
      <c r="AE269" s="5">
        <v>133.1</v>
      </c>
      <c r="AH269" s="5">
        <v>1.64</v>
      </c>
      <c r="AI269" s="5">
        <v>742.2</v>
      </c>
      <c r="AJ269" s="5">
        <v>29.09</v>
      </c>
      <c r="AK269" s="5">
        <v>310.39999999999998</v>
      </c>
      <c r="AL269" s="5">
        <v>8.7799999999999994</v>
      </c>
      <c r="AM269" s="5">
        <v>20256.34</v>
      </c>
      <c r="AN269" s="5">
        <v>4625.84</v>
      </c>
      <c r="AO269" s="5">
        <v>2.9939024390243905</v>
      </c>
      <c r="AP269" s="5">
        <v>10.67</v>
      </c>
      <c r="AQ269" s="5">
        <v>11.92</v>
      </c>
      <c r="AR269" s="5">
        <v>1.29</v>
      </c>
      <c r="AS269" s="5">
        <v>0.37</v>
      </c>
      <c r="AT269" s="5">
        <v>16.04</v>
      </c>
      <c r="AU269" s="5">
        <v>0.06</v>
      </c>
      <c r="AV269" s="5">
        <v>0.06</v>
      </c>
      <c r="AW269" s="5">
        <v>9.6199999999999992</v>
      </c>
      <c r="AX269" s="5">
        <v>12.44</v>
      </c>
      <c r="AY269" s="5">
        <v>0.02</v>
      </c>
      <c r="BB269" s="5">
        <v>47.04</v>
      </c>
    </row>
    <row r="270" spans="1:54" x14ac:dyDescent="0.3">
      <c r="A270" s="1" t="s">
        <v>14</v>
      </c>
      <c r="B270" s="1" t="s">
        <v>15</v>
      </c>
      <c r="C270" s="1" t="s">
        <v>16</v>
      </c>
      <c r="D270" s="5">
        <v>44.29</v>
      </c>
      <c r="E270" s="5">
        <v>115.5</v>
      </c>
      <c r="F270" s="1" t="s">
        <v>17</v>
      </c>
      <c r="G270" s="5" t="s">
        <v>336</v>
      </c>
      <c r="H270" s="5" t="s">
        <v>334</v>
      </c>
      <c r="I270" s="6">
        <v>3.060376038774848E-4</v>
      </c>
      <c r="J270" s="3" t="s">
        <v>445</v>
      </c>
      <c r="K270" s="5">
        <v>45.25</v>
      </c>
      <c r="L270" s="5">
        <v>0.2</v>
      </c>
      <c r="M270" s="5">
        <v>10.84</v>
      </c>
      <c r="N270" s="5">
        <v>9.19</v>
      </c>
      <c r="O270" s="5">
        <v>2.65</v>
      </c>
      <c r="P270" s="5">
        <v>1.46</v>
      </c>
      <c r="Q270" s="5">
        <v>21.95</v>
      </c>
      <c r="R270" s="5">
        <v>246.5</v>
      </c>
      <c r="W270" s="5">
        <v>21.08</v>
      </c>
      <c r="X270" s="5">
        <v>788.5</v>
      </c>
      <c r="Y270" s="5">
        <v>2.31</v>
      </c>
      <c r="Z270" s="5">
        <v>3.77</v>
      </c>
      <c r="AA270" s="5">
        <v>1.0900000000000001</v>
      </c>
      <c r="AB270" s="5">
        <v>47.15</v>
      </c>
      <c r="AC270" s="5">
        <v>2.69</v>
      </c>
      <c r="AD270" s="5">
        <v>39.08</v>
      </c>
      <c r="AE270" s="5">
        <v>86.77</v>
      </c>
      <c r="AH270" s="5">
        <v>1.77</v>
      </c>
      <c r="AI270" s="5">
        <v>657.8</v>
      </c>
      <c r="AJ270" s="5">
        <v>27.86</v>
      </c>
      <c r="AK270" s="5">
        <v>256.7</v>
      </c>
      <c r="AL270" s="5">
        <v>5.54</v>
      </c>
      <c r="AM270" s="5">
        <v>18578.3</v>
      </c>
      <c r="AN270" s="5">
        <v>3622.12</v>
      </c>
      <c r="AO270" s="5">
        <v>1.5197740112994349</v>
      </c>
      <c r="AP270" s="5">
        <v>9.2100000000000009</v>
      </c>
      <c r="AQ270" s="5">
        <v>12.51</v>
      </c>
      <c r="AR270" s="5">
        <v>1.21</v>
      </c>
      <c r="AS270" s="5">
        <v>0.45</v>
      </c>
      <c r="AT270" s="5">
        <v>16.52</v>
      </c>
      <c r="AU270" s="5">
        <v>0.05</v>
      </c>
      <c r="AV270" s="5">
        <v>0.05</v>
      </c>
      <c r="AW270" s="5">
        <v>13.95</v>
      </c>
      <c r="AX270" s="5">
        <v>16.829999999999998</v>
      </c>
      <c r="AY270" s="5">
        <v>0.02</v>
      </c>
      <c r="BB270" s="5">
        <v>26.64</v>
      </c>
    </row>
    <row r="271" spans="1:54" x14ac:dyDescent="0.3">
      <c r="A271" s="1" t="s">
        <v>14</v>
      </c>
      <c r="B271" s="1" t="s">
        <v>15</v>
      </c>
      <c r="C271" s="1" t="s">
        <v>16</v>
      </c>
      <c r="D271" s="5">
        <v>44.29</v>
      </c>
      <c r="E271" s="5">
        <v>115.5</v>
      </c>
      <c r="F271" s="1" t="s">
        <v>17</v>
      </c>
      <c r="G271" s="5" t="s">
        <v>337</v>
      </c>
      <c r="H271" s="5" t="s">
        <v>334</v>
      </c>
      <c r="I271" s="6">
        <v>1.014046254567802E-3</v>
      </c>
      <c r="J271" s="3" t="s">
        <v>445</v>
      </c>
      <c r="K271" s="5">
        <v>49.04</v>
      </c>
      <c r="L271" s="5">
        <v>0.15</v>
      </c>
      <c r="M271" s="5">
        <v>7.07</v>
      </c>
      <c r="N271" s="5">
        <v>9.09</v>
      </c>
      <c r="O271" s="5">
        <v>3.32</v>
      </c>
      <c r="P271" s="5">
        <v>1.61</v>
      </c>
      <c r="Q271" s="5">
        <v>19.649999999999999</v>
      </c>
      <c r="R271" s="5">
        <v>245.7</v>
      </c>
      <c r="W271" s="5">
        <v>27.51</v>
      </c>
      <c r="X271" s="5">
        <v>704.8</v>
      </c>
      <c r="Y271" s="5">
        <v>2.25</v>
      </c>
      <c r="Z271" s="5">
        <v>3.44</v>
      </c>
      <c r="AA271" s="5">
        <v>0.88</v>
      </c>
      <c r="AB271" s="5">
        <v>39.65</v>
      </c>
      <c r="AC271" s="5">
        <v>2.31</v>
      </c>
      <c r="AD271" s="5">
        <v>30.84</v>
      </c>
      <c r="AE271" s="5">
        <v>66.41</v>
      </c>
      <c r="AH271" s="5">
        <v>1.68</v>
      </c>
      <c r="AI271" s="5">
        <v>529.79999999999995</v>
      </c>
      <c r="AJ271" s="5">
        <v>24.41</v>
      </c>
      <c r="AK271" s="5">
        <v>210</v>
      </c>
      <c r="AL271" s="5">
        <v>4.87</v>
      </c>
      <c r="AM271" s="5">
        <v>17499.560000000001</v>
      </c>
      <c r="AN271" s="5">
        <v>2880.24</v>
      </c>
      <c r="AO271" s="5">
        <v>1.375</v>
      </c>
      <c r="AP271" s="5">
        <v>8.6</v>
      </c>
      <c r="AQ271" s="5">
        <v>11.53</v>
      </c>
      <c r="AR271" s="5">
        <v>1.29</v>
      </c>
      <c r="AS271" s="5">
        <v>0.69</v>
      </c>
      <c r="AT271" s="5">
        <v>19.36</v>
      </c>
      <c r="AU271" s="5">
        <v>0.06</v>
      </c>
      <c r="AV271" s="5">
        <v>0.06</v>
      </c>
      <c r="AW271" s="5">
        <v>13.36</v>
      </c>
      <c r="AX271" s="5">
        <v>17.18</v>
      </c>
      <c r="AY271" s="5">
        <v>0.02</v>
      </c>
      <c r="BB271" s="5">
        <v>23.6</v>
      </c>
    </row>
    <row r="272" spans="1:54" x14ac:dyDescent="0.3">
      <c r="A272" s="1" t="s">
        <v>14</v>
      </c>
      <c r="B272" s="1" t="s">
        <v>15</v>
      </c>
      <c r="C272" s="1" t="s">
        <v>16</v>
      </c>
      <c r="D272" s="5">
        <v>44.29</v>
      </c>
      <c r="E272" s="5">
        <v>115.5</v>
      </c>
      <c r="F272" s="1" t="s">
        <v>17</v>
      </c>
      <c r="G272" s="5" t="s">
        <v>338</v>
      </c>
      <c r="H272" s="5" t="s">
        <v>334</v>
      </c>
      <c r="I272" s="6">
        <v>3.4654174669412903E-5</v>
      </c>
      <c r="J272" s="3" t="s">
        <v>445</v>
      </c>
      <c r="K272" s="5">
        <v>47.46</v>
      </c>
      <c r="L272" s="5">
        <v>0.17</v>
      </c>
      <c r="M272" s="5">
        <v>9.43</v>
      </c>
      <c r="N272" s="5">
        <v>9.2200000000000006</v>
      </c>
      <c r="O272" s="5">
        <v>3.09</v>
      </c>
      <c r="P272" s="5">
        <v>1.58</v>
      </c>
      <c r="Q272" s="5">
        <v>21.01</v>
      </c>
      <c r="R272" s="5">
        <v>245.7</v>
      </c>
      <c r="W272" s="5">
        <v>25.8</v>
      </c>
      <c r="X272" s="5">
        <v>686</v>
      </c>
      <c r="Y272" s="5">
        <v>3.35</v>
      </c>
      <c r="Z272" s="5">
        <v>3.81</v>
      </c>
      <c r="AA272" s="5">
        <v>0.96</v>
      </c>
      <c r="AB272" s="5">
        <v>44.03</v>
      </c>
      <c r="AC272" s="5">
        <v>2.67</v>
      </c>
      <c r="AD272" s="5">
        <v>33.729999999999997</v>
      </c>
      <c r="AE272" s="5">
        <v>74.02</v>
      </c>
      <c r="AH272" s="5">
        <v>1.6</v>
      </c>
      <c r="AI272" s="5">
        <v>521.29999999999995</v>
      </c>
      <c r="AJ272" s="5">
        <v>23.36</v>
      </c>
      <c r="AK272" s="5">
        <v>234.6</v>
      </c>
      <c r="AL272" s="5">
        <v>5.41</v>
      </c>
      <c r="AM272" s="5">
        <v>17259.84</v>
      </c>
      <c r="AN272" s="5">
        <v>2880.24</v>
      </c>
      <c r="AO272" s="5">
        <v>1.66875</v>
      </c>
      <c r="AP272" s="5">
        <v>10.039999999999999</v>
      </c>
      <c r="AQ272" s="5">
        <v>11.56</v>
      </c>
      <c r="AR272" s="5">
        <v>1.31</v>
      </c>
      <c r="AS272" s="5">
        <v>0.59</v>
      </c>
      <c r="AT272" s="5">
        <v>17.190000000000001</v>
      </c>
      <c r="AU272" s="5">
        <v>0.08</v>
      </c>
      <c r="AV272" s="5">
        <v>0.08</v>
      </c>
      <c r="AW272" s="5">
        <v>11.84</v>
      </c>
      <c r="AX272" s="5">
        <v>15.46</v>
      </c>
      <c r="AY272" s="5">
        <v>0.02</v>
      </c>
      <c r="BB272" s="5">
        <v>27.52</v>
      </c>
    </row>
    <row r="273" spans="1:54" x14ac:dyDescent="0.3">
      <c r="A273" s="1" t="s">
        <v>14</v>
      </c>
      <c r="B273" s="1" t="s">
        <v>15</v>
      </c>
      <c r="C273" s="1" t="s">
        <v>16</v>
      </c>
      <c r="D273" s="5">
        <v>44.29</v>
      </c>
      <c r="E273" s="5">
        <v>115.5</v>
      </c>
      <c r="F273" s="1" t="s">
        <v>17</v>
      </c>
      <c r="G273" s="5" t="s">
        <v>339</v>
      </c>
      <c r="H273" s="5" t="s">
        <v>334</v>
      </c>
      <c r="I273" s="6">
        <v>6.2202743720263243E-4</v>
      </c>
      <c r="J273" s="3" t="s">
        <v>445</v>
      </c>
      <c r="K273" s="5">
        <v>48.79</v>
      </c>
      <c r="L273" s="5">
        <v>0.16</v>
      </c>
      <c r="M273" s="5">
        <v>9.1300000000000008</v>
      </c>
      <c r="N273" s="5">
        <v>9.4</v>
      </c>
      <c r="O273" s="5">
        <v>3.24</v>
      </c>
      <c r="P273" s="5">
        <v>1.41</v>
      </c>
      <c r="Q273" s="5">
        <v>20.21</v>
      </c>
      <c r="R273" s="5">
        <v>222.8</v>
      </c>
      <c r="W273" s="5">
        <v>26.63</v>
      </c>
      <c r="X273" s="5">
        <v>597.9</v>
      </c>
      <c r="Y273" s="5">
        <v>2.17</v>
      </c>
      <c r="Z273" s="5">
        <v>3.45</v>
      </c>
      <c r="AA273" s="5">
        <v>0.8</v>
      </c>
      <c r="AB273" s="5">
        <v>38.229999999999997</v>
      </c>
      <c r="AC273" s="5">
        <v>2.14</v>
      </c>
      <c r="AD273" s="5">
        <v>26.86</v>
      </c>
      <c r="AE273" s="5">
        <v>56.85</v>
      </c>
      <c r="AH273" s="5">
        <v>1.44</v>
      </c>
      <c r="AI273" s="5">
        <v>506.2</v>
      </c>
      <c r="AJ273" s="5">
        <v>20.97</v>
      </c>
      <c r="AK273" s="5">
        <v>173.1</v>
      </c>
      <c r="AL273" s="5">
        <v>3.89</v>
      </c>
      <c r="AM273" s="5">
        <v>13604.11</v>
      </c>
      <c r="AN273" s="5">
        <v>2400.1999999999998</v>
      </c>
      <c r="AO273" s="5">
        <v>1.4861111111111112</v>
      </c>
      <c r="AP273" s="5">
        <v>8.25</v>
      </c>
      <c r="AQ273" s="5">
        <v>11.08</v>
      </c>
      <c r="AR273" s="5">
        <v>1.42</v>
      </c>
      <c r="AS273" s="5">
        <v>0.7</v>
      </c>
      <c r="AT273" s="5">
        <v>19.78</v>
      </c>
      <c r="AU273" s="5">
        <v>0.06</v>
      </c>
      <c r="AV273" s="5">
        <v>7.0000000000000007E-2</v>
      </c>
      <c r="AW273" s="5">
        <v>13.24</v>
      </c>
      <c r="AX273" s="5">
        <v>18.850000000000001</v>
      </c>
      <c r="AY273" s="5">
        <v>0.02</v>
      </c>
      <c r="BB273" s="5">
        <v>26.55</v>
      </c>
    </row>
    <row r="274" spans="1:54" x14ac:dyDescent="0.3">
      <c r="A274" s="1" t="s">
        <v>14</v>
      </c>
      <c r="B274" s="1" t="s">
        <v>15</v>
      </c>
      <c r="C274" s="1" t="s">
        <v>16</v>
      </c>
      <c r="D274" s="5">
        <v>44.29</v>
      </c>
      <c r="E274" s="5">
        <v>115.5</v>
      </c>
      <c r="F274" s="1" t="s">
        <v>17</v>
      </c>
      <c r="G274" s="5" t="s">
        <v>340</v>
      </c>
      <c r="H274" s="5" t="s">
        <v>334</v>
      </c>
      <c r="I274" s="6">
        <v>4.6420551370829338E-4</v>
      </c>
      <c r="J274" s="3" t="s">
        <v>445</v>
      </c>
      <c r="K274" s="5">
        <v>47.99</v>
      </c>
      <c r="L274" s="5">
        <v>0.17</v>
      </c>
      <c r="M274" s="5">
        <v>9.1999999999999993</v>
      </c>
      <c r="N274" s="5">
        <v>8.83</v>
      </c>
      <c r="O274" s="5">
        <v>2.76</v>
      </c>
      <c r="P274" s="5">
        <v>1.53</v>
      </c>
      <c r="Q274" s="5">
        <v>20.89</v>
      </c>
      <c r="R274" s="5">
        <v>246.5</v>
      </c>
      <c r="W274" s="5">
        <v>27.55</v>
      </c>
      <c r="X274" s="5">
        <v>669.6</v>
      </c>
      <c r="Y274" s="5">
        <v>2.79</v>
      </c>
      <c r="Z274" s="5">
        <v>3.73</v>
      </c>
      <c r="AA274" s="5">
        <v>0.81</v>
      </c>
      <c r="AB274" s="5">
        <v>41</v>
      </c>
      <c r="AC274" s="5">
        <v>2.41</v>
      </c>
      <c r="AD274" s="5">
        <v>31.94</v>
      </c>
      <c r="AE274" s="5">
        <v>69.37</v>
      </c>
      <c r="AH274" s="5">
        <v>1.62</v>
      </c>
      <c r="AI274" s="5">
        <v>689.5</v>
      </c>
      <c r="AJ274" s="5">
        <v>24.22</v>
      </c>
      <c r="AK274" s="5">
        <v>230.9</v>
      </c>
      <c r="AL274" s="5">
        <v>5.0199999999999996</v>
      </c>
      <c r="AM274" s="5">
        <v>16840.330000000002</v>
      </c>
      <c r="AN274" s="5">
        <v>2749.32</v>
      </c>
      <c r="AO274" s="5">
        <v>1.4876543209876543</v>
      </c>
      <c r="AP274" s="5">
        <v>9.5299999999999994</v>
      </c>
      <c r="AQ274" s="5">
        <v>10.99</v>
      </c>
      <c r="AR274" s="5">
        <v>1.28</v>
      </c>
      <c r="AS274" s="5">
        <v>0.67</v>
      </c>
      <c r="AT274" s="5">
        <v>17.73</v>
      </c>
      <c r="AU274" s="5">
        <v>7.0000000000000007E-2</v>
      </c>
      <c r="AV274" s="5">
        <v>7.0000000000000007E-2</v>
      </c>
      <c r="AW274" s="5">
        <v>16.82</v>
      </c>
      <c r="AX274" s="5">
        <v>21.59</v>
      </c>
      <c r="AY274" s="5">
        <v>0.02</v>
      </c>
      <c r="BB274" s="5">
        <v>25.31</v>
      </c>
    </row>
    <row r="275" spans="1:54" x14ac:dyDescent="0.3">
      <c r="A275" s="1" t="s">
        <v>14</v>
      </c>
      <c r="B275" s="1" t="s">
        <v>15</v>
      </c>
      <c r="C275" s="1" t="s">
        <v>16</v>
      </c>
      <c r="D275" s="5">
        <v>44.29</v>
      </c>
      <c r="E275" s="5">
        <v>115.5</v>
      </c>
      <c r="F275" s="1" t="s">
        <v>17</v>
      </c>
      <c r="G275" s="5" t="s">
        <v>341</v>
      </c>
      <c r="H275" s="5" t="s">
        <v>334</v>
      </c>
      <c r="I275" s="6">
        <v>9.7780534997582436E-4</v>
      </c>
      <c r="J275" s="3" t="s">
        <v>445</v>
      </c>
      <c r="K275" s="5">
        <v>48.64</v>
      </c>
      <c r="L275" s="5">
        <v>0.15</v>
      </c>
      <c r="M275" s="5">
        <v>8.48</v>
      </c>
      <c r="N275" s="5">
        <v>8.57</v>
      </c>
      <c r="O275" s="5">
        <v>3.24</v>
      </c>
      <c r="P275" s="5">
        <v>1.53</v>
      </c>
      <c r="Q275" s="5">
        <v>20.89</v>
      </c>
      <c r="R275" s="5">
        <v>246.5</v>
      </c>
      <c r="W275" s="5">
        <v>27.55</v>
      </c>
      <c r="X275" s="5">
        <v>669.6</v>
      </c>
      <c r="Y275" s="5">
        <v>2.79</v>
      </c>
      <c r="Z275" s="5">
        <v>3.73</v>
      </c>
      <c r="AA275" s="5">
        <v>0.81</v>
      </c>
      <c r="AB275" s="5">
        <v>41</v>
      </c>
      <c r="AC275" s="5">
        <v>2.41</v>
      </c>
      <c r="AD275" s="5">
        <v>31.94</v>
      </c>
      <c r="AE275" s="5">
        <v>69.37</v>
      </c>
      <c r="AH275" s="5">
        <v>1.62</v>
      </c>
      <c r="AI275" s="5">
        <v>689.5</v>
      </c>
      <c r="AJ275" s="5">
        <v>24.22</v>
      </c>
      <c r="AK275" s="5">
        <v>230.9</v>
      </c>
      <c r="AL275" s="5">
        <v>5.0199999999999996</v>
      </c>
      <c r="AM275" s="5">
        <v>16061.24</v>
      </c>
      <c r="AN275" s="5">
        <v>2618.4</v>
      </c>
      <c r="AO275" s="5">
        <v>1.4876543209876543</v>
      </c>
      <c r="AP275" s="5">
        <v>9.5299999999999994</v>
      </c>
      <c r="AQ275" s="5">
        <v>10.99</v>
      </c>
      <c r="AR275" s="5">
        <v>1.28</v>
      </c>
      <c r="AS275" s="5">
        <v>0.67</v>
      </c>
      <c r="AT275" s="5">
        <v>17.73</v>
      </c>
      <c r="AU275" s="5">
        <v>7.0000000000000007E-2</v>
      </c>
      <c r="AV275" s="5">
        <v>7.0000000000000007E-2</v>
      </c>
      <c r="AW275" s="5">
        <v>16.82</v>
      </c>
      <c r="AX275" s="5">
        <v>21.59</v>
      </c>
      <c r="AY275" s="5">
        <v>0.02</v>
      </c>
      <c r="BB275" s="5">
        <v>25.31</v>
      </c>
    </row>
    <row r="276" spans="1:54" x14ac:dyDescent="0.3">
      <c r="A276" s="1" t="s">
        <v>14</v>
      </c>
      <c r="B276" s="1" t="s">
        <v>15</v>
      </c>
      <c r="C276" s="1" t="s">
        <v>16</v>
      </c>
      <c r="D276" s="5">
        <v>44.29</v>
      </c>
      <c r="E276" s="5">
        <v>115.5</v>
      </c>
      <c r="F276" s="1" t="s">
        <v>17</v>
      </c>
      <c r="G276" s="5" t="s">
        <v>342</v>
      </c>
      <c r="H276" s="5" t="s">
        <v>343</v>
      </c>
      <c r="I276" s="6">
        <v>3.7333907093852758E-3</v>
      </c>
      <c r="J276" s="3" t="s">
        <v>445</v>
      </c>
      <c r="K276" s="5">
        <v>49.14</v>
      </c>
      <c r="L276" s="5">
        <v>0.15</v>
      </c>
      <c r="M276" s="5">
        <v>7.75</v>
      </c>
      <c r="N276" s="5">
        <v>9.61</v>
      </c>
      <c r="O276" s="5">
        <v>3.1</v>
      </c>
      <c r="P276" s="5">
        <v>1.1399999999999999</v>
      </c>
      <c r="Q276" s="5">
        <v>19.59</v>
      </c>
      <c r="R276" s="5">
        <v>210.6</v>
      </c>
      <c r="W276" s="5">
        <v>17.190000000000001</v>
      </c>
      <c r="X276" s="5">
        <v>550.9</v>
      </c>
      <c r="Y276" s="5">
        <v>1.91</v>
      </c>
      <c r="Z276" s="5">
        <v>2.5</v>
      </c>
      <c r="AA276" s="5">
        <v>0.92</v>
      </c>
      <c r="AB276" s="5">
        <v>29.35</v>
      </c>
      <c r="AC276" s="5">
        <v>1.63</v>
      </c>
      <c r="AD276" s="5">
        <v>21.33</v>
      </c>
      <c r="AE276" s="5">
        <v>46.57</v>
      </c>
      <c r="AH276" s="5">
        <v>1.5</v>
      </c>
      <c r="AI276" s="5">
        <v>448.5</v>
      </c>
      <c r="AJ276" s="5">
        <v>21.47</v>
      </c>
      <c r="AK276" s="5">
        <v>170</v>
      </c>
      <c r="AL276" s="5">
        <v>3.84</v>
      </c>
      <c r="AM276" s="5">
        <v>15402.01</v>
      </c>
      <c r="AN276" s="5">
        <v>2182</v>
      </c>
      <c r="AO276" s="5">
        <v>1.0866666666666667</v>
      </c>
      <c r="AP276" s="5">
        <v>7.92</v>
      </c>
      <c r="AQ276" s="5">
        <v>11.74</v>
      </c>
      <c r="AR276" s="5">
        <v>1.38</v>
      </c>
      <c r="AS276" s="5">
        <v>0.59</v>
      </c>
      <c r="AT276" s="5">
        <v>20.66</v>
      </c>
      <c r="AU276" s="5">
        <v>7.0000000000000007E-2</v>
      </c>
      <c r="AV276" s="5">
        <v>7.0000000000000007E-2</v>
      </c>
      <c r="AW276" s="5">
        <v>15.28</v>
      </c>
      <c r="AX276" s="5">
        <v>21.03</v>
      </c>
      <c r="AY276" s="5">
        <v>0.03</v>
      </c>
      <c r="BB276" s="5">
        <v>19.57</v>
      </c>
    </row>
    <row r="277" spans="1:54" x14ac:dyDescent="0.3">
      <c r="A277" s="1" t="s">
        <v>14</v>
      </c>
      <c r="B277" s="1" t="s">
        <v>15</v>
      </c>
      <c r="C277" s="1" t="s">
        <v>16</v>
      </c>
      <c r="D277" s="5">
        <v>44.29</v>
      </c>
      <c r="E277" s="5">
        <v>115.5</v>
      </c>
      <c r="F277" s="1" t="s">
        <v>17</v>
      </c>
      <c r="G277" s="5" t="s">
        <v>344</v>
      </c>
      <c r="H277" s="5" t="s">
        <v>343</v>
      </c>
      <c r="I277" s="6">
        <v>4.7279041609726852E-4</v>
      </c>
      <c r="J277" s="3" t="s">
        <v>445</v>
      </c>
      <c r="K277" s="5">
        <v>50.43</v>
      </c>
      <c r="L277" s="5">
        <v>0.14000000000000001</v>
      </c>
      <c r="M277" s="5">
        <v>7.98</v>
      </c>
      <c r="N277" s="5">
        <v>8.6999999999999993</v>
      </c>
      <c r="O277" s="5">
        <v>3.22</v>
      </c>
      <c r="P277" s="5">
        <v>1.38</v>
      </c>
      <c r="Q277" s="5">
        <v>19.47</v>
      </c>
      <c r="R277" s="5">
        <v>210.5</v>
      </c>
      <c r="W277" s="5">
        <v>25.04</v>
      </c>
      <c r="X277" s="5">
        <v>494.4</v>
      </c>
      <c r="Y277" s="5">
        <v>2.08</v>
      </c>
      <c r="Z277" s="5">
        <v>2.67</v>
      </c>
      <c r="AA277" s="5">
        <v>0.53</v>
      </c>
      <c r="AB277" s="5">
        <v>25.48</v>
      </c>
      <c r="AC277" s="5">
        <v>1.59</v>
      </c>
      <c r="AD277" s="5">
        <v>17.29</v>
      </c>
      <c r="AE277" s="5">
        <v>39.57</v>
      </c>
      <c r="AH277" s="5">
        <v>1.36</v>
      </c>
      <c r="AI277" s="5">
        <v>332.2</v>
      </c>
      <c r="AJ277" s="5">
        <v>18.79</v>
      </c>
      <c r="AK277" s="5">
        <v>161.1</v>
      </c>
      <c r="AL277" s="5">
        <v>3.71</v>
      </c>
      <c r="AM277" s="5">
        <v>14383.2</v>
      </c>
      <c r="AN277" s="5">
        <v>1832.88</v>
      </c>
      <c r="AO277" s="5">
        <v>1.1691176470588236</v>
      </c>
      <c r="AP277" s="5">
        <v>8.57</v>
      </c>
      <c r="AQ277" s="5">
        <v>9.5399999999999991</v>
      </c>
      <c r="AR277" s="5">
        <v>1.47</v>
      </c>
      <c r="AS277" s="5">
        <v>0.98</v>
      </c>
      <c r="AT277" s="5">
        <v>21.4</v>
      </c>
      <c r="AU277" s="5">
        <v>0.08</v>
      </c>
      <c r="AV277" s="5">
        <v>0.09</v>
      </c>
      <c r="AW277" s="5">
        <v>13.04</v>
      </c>
      <c r="AX277" s="5">
        <v>19.21</v>
      </c>
      <c r="AY277" s="5">
        <v>0.02</v>
      </c>
      <c r="BB277" s="5">
        <v>18.739999999999998</v>
      </c>
    </row>
    <row r="278" spans="1:54" x14ac:dyDescent="0.3">
      <c r="A278" s="1" t="s">
        <v>14</v>
      </c>
      <c r="B278" s="1" t="s">
        <v>15</v>
      </c>
      <c r="C278" s="1" t="s">
        <v>16</v>
      </c>
      <c r="D278" s="5">
        <v>44.29</v>
      </c>
      <c r="E278" s="5">
        <v>115.5</v>
      </c>
      <c r="F278" s="1" t="s">
        <v>17</v>
      </c>
      <c r="G278" s="5" t="s">
        <v>345</v>
      </c>
      <c r="H278" s="5" t="s">
        <v>343</v>
      </c>
      <c r="I278" s="6">
        <v>4.4008239638060331E-4</v>
      </c>
      <c r="J278" s="3" t="s">
        <v>445</v>
      </c>
      <c r="K278" s="5">
        <v>51.76</v>
      </c>
      <c r="L278" s="5">
        <v>0.15</v>
      </c>
      <c r="M278" s="5">
        <v>7.53</v>
      </c>
      <c r="N278" s="5">
        <v>8.3699999999999992</v>
      </c>
      <c r="O278" s="5">
        <v>3.08</v>
      </c>
      <c r="P278" s="5">
        <v>1.1000000000000001</v>
      </c>
      <c r="Q278" s="5">
        <v>20.89</v>
      </c>
      <c r="R278" s="5">
        <v>202.5</v>
      </c>
      <c r="W278" s="5">
        <v>21.47</v>
      </c>
      <c r="X278" s="5">
        <v>448.2</v>
      </c>
      <c r="Y278" s="5">
        <v>2.58</v>
      </c>
      <c r="Z278" s="5">
        <v>2.92</v>
      </c>
      <c r="AA278" s="5">
        <v>0.65</v>
      </c>
      <c r="AB278" s="5">
        <v>22.05</v>
      </c>
      <c r="AC278" s="5">
        <v>1.36</v>
      </c>
      <c r="AD278" s="5">
        <v>18.88</v>
      </c>
      <c r="AE278" s="5">
        <v>43.03</v>
      </c>
      <c r="AH278" s="5">
        <v>1.77</v>
      </c>
      <c r="AI278" s="5">
        <v>266.39999999999998</v>
      </c>
      <c r="AJ278" s="5">
        <v>24.33</v>
      </c>
      <c r="AK278" s="5">
        <v>176.3</v>
      </c>
      <c r="AL278" s="5">
        <v>4.2300000000000004</v>
      </c>
      <c r="AM278" s="5">
        <v>15282.15</v>
      </c>
      <c r="AN278" s="5">
        <v>1876.52</v>
      </c>
      <c r="AO278" s="5">
        <v>0.76836158192090398</v>
      </c>
      <c r="AP278" s="5">
        <v>7.25</v>
      </c>
      <c r="AQ278" s="5">
        <v>7.55</v>
      </c>
      <c r="AR278" s="5">
        <v>1.17</v>
      </c>
      <c r="AS278" s="5">
        <v>0.97</v>
      </c>
      <c r="AT278" s="5">
        <v>16.989999999999998</v>
      </c>
      <c r="AU278" s="5">
        <v>0.12</v>
      </c>
      <c r="AV278" s="5">
        <v>0.1</v>
      </c>
      <c r="AW278" s="5">
        <v>12.08</v>
      </c>
      <c r="AX278" s="5">
        <v>14.11</v>
      </c>
      <c r="AY278" s="5">
        <v>0.03</v>
      </c>
      <c r="BB278" s="5">
        <v>12.46</v>
      </c>
    </row>
    <row r="279" spans="1:54" x14ac:dyDescent="0.3">
      <c r="A279" s="1" t="s">
        <v>14</v>
      </c>
      <c r="B279" s="1" t="s">
        <v>15</v>
      </c>
      <c r="C279" s="1" t="s">
        <v>16</v>
      </c>
      <c r="D279" s="5">
        <v>44.29</v>
      </c>
      <c r="E279" s="5">
        <v>115.5</v>
      </c>
      <c r="F279" s="1" t="s">
        <v>17</v>
      </c>
      <c r="G279" s="5" t="s">
        <v>346</v>
      </c>
      <c r="H279" s="5" t="s">
        <v>343</v>
      </c>
      <c r="I279" s="6">
        <v>6.7594288848340511E-3</v>
      </c>
      <c r="J279" s="3" t="s">
        <v>445</v>
      </c>
      <c r="K279" s="5">
        <v>50.21</v>
      </c>
      <c r="L279" s="5">
        <v>0.15</v>
      </c>
      <c r="M279" s="5">
        <v>6.89</v>
      </c>
      <c r="N279" s="5">
        <v>8.7200000000000006</v>
      </c>
      <c r="O279" s="5">
        <v>3.48</v>
      </c>
      <c r="P279" s="5">
        <v>1.1599999999999999</v>
      </c>
      <c r="Q279" s="5">
        <v>18.38</v>
      </c>
      <c r="R279" s="5">
        <v>207.1</v>
      </c>
      <c r="W279" s="5">
        <v>17.02</v>
      </c>
      <c r="X279" s="5">
        <v>578.29999999999995</v>
      </c>
      <c r="Y279" s="5">
        <v>2.31</v>
      </c>
      <c r="Z279" s="5">
        <v>2.5</v>
      </c>
      <c r="AA279" s="5">
        <v>0.49</v>
      </c>
      <c r="AB279" s="5">
        <v>29.04</v>
      </c>
      <c r="AC279" s="5">
        <v>1.73</v>
      </c>
      <c r="AD279" s="5">
        <v>20.56</v>
      </c>
      <c r="AE279" s="5">
        <v>47.31</v>
      </c>
      <c r="AH279" s="5">
        <v>1.57</v>
      </c>
      <c r="AI279" s="5">
        <v>349.4</v>
      </c>
      <c r="AJ279" s="5">
        <v>22.06</v>
      </c>
      <c r="AK279" s="5">
        <v>178.2</v>
      </c>
      <c r="AL279" s="5">
        <v>4.2</v>
      </c>
      <c r="AM279" s="5">
        <v>15521.87</v>
      </c>
      <c r="AN279" s="5">
        <v>2138.36</v>
      </c>
      <c r="AO279" s="5">
        <v>1.1019108280254777</v>
      </c>
      <c r="AP279" s="5">
        <v>8.08</v>
      </c>
      <c r="AQ279" s="5">
        <v>11.62</v>
      </c>
      <c r="AR279" s="5">
        <v>1.41</v>
      </c>
      <c r="AS279" s="5">
        <v>0.59</v>
      </c>
      <c r="AT279" s="5">
        <v>21.39</v>
      </c>
      <c r="AU279" s="5">
        <v>0.08</v>
      </c>
      <c r="AV279" s="5">
        <v>0.09</v>
      </c>
      <c r="AW279" s="5">
        <v>12.03</v>
      </c>
      <c r="AX279" s="5">
        <v>16.989999999999998</v>
      </c>
      <c r="AY279" s="5">
        <v>0.02</v>
      </c>
      <c r="BB279" s="5">
        <v>18.5</v>
      </c>
    </row>
    <row r="280" spans="1:54" x14ac:dyDescent="0.3">
      <c r="A280" s="1" t="s">
        <v>14</v>
      </c>
      <c r="B280" s="1" t="s">
        <v>15</v>
      </c>
      <c r="C280" s="1" t="s">
        <v>16</v>
      </c>
      <c r="D280" s="5">
        <v>44.29</v>
      </c>
      <c r="E280" s="5">
        <v>115.5</v>
      </c>
      <c r="F280" s="1" t="s">
        <v>17</v>
      </c>
      <c r="G280" s="5" t="s">
        <v>347</v>
      </c>
      <c r="H280" s="5" t="s">
        <v>343</v>
      </c>
      <c r="I280" s="6">
        <v>2.3846453987061982E-3</v>
      </c>
      <c r="J280" s="3" t="s">
        <v>445</v>
      </c>
      <c r="K280" s="5">
        <v>50.26</v>
      </c>
      <c r="L280" s="5">
        <v>0.15</v>
      </c>
      <c r="M280" s="5">
        <v>7.39</v>
      </c>
      <c r="N280" s="5">
        <v>9.01</v>
      </c>
      <c r="O280" s="5">
        <v>2.89</v>
      </c>
      <c r="P280" s="5">
        <v>0.86</v>
      </c>
      <c r="Q280" s="5">
        <v>20.82</v>
      </c>
      <c r="R280" s="5">
        <v>217.7</v>
      </c>
      <c r="W280" s="5">
        <v>9.3699999999999992</v>
      </c>
      <c r="X280" s="5">
        <v>432.6</v>
      </c>
      <c r="Y280" s="5">
        <v>1.73</v>
      </c>
      <c r="Z280" s="5">
        <v>2.19</v>
      </c>
      <c r="AA280" s="5">
        <v>0.56999999999999995</v>
      </c>
      <c r="AB280" s="5">
        <v>23.45</v>
      </c>
      <c r="AC280" s="5">
        <v>1.43</v>
      </c>
      <c r="AD280" s="5">
        <v>17.350000000000001</v>
      </c>
      <c r="AE280" s="5">
        <v>41.66</v>
      </c>
      <c r="AH280" s="5">
        <v>1.75</v>
      </c>
      <c r="AI280" s="5">
        <v>256.10000000000002</v>
      </c>
      <c r="AJ280" s="5">
        <v>25.23</v>
      </c>
      <c r="AK280" s="5">
        <v>192.4</v>
      </c>
      <c r="AL280" s="5">
        <v>4.51</v>
      </c>
      <c r="AM280" s="5">
        <v>17439.63</v>
      </c>
      <c r="AN280" s="5">
        <v>2051.08</v>
      </c>
      <c r="AO280" s="5">
        <v>0.81714285714285706</v>
      </c>
      <c r="AP280" s="5">
        <v>7.63</v>
      </c>
      <c r="AQ280" s="5">
        <v>10.71</v>
      </c>
      <c r="AR280" s="5">
        <v>1.35</v>
      </c>
      <c r="AS280" s="5">
        <v>0.4</v>
      </c>
      <c r="AT280" s="5">
        <v>16.559999999999999</v>
      </c>
      <c r="AU280" s="5">
        <v>7.0000000000000007E-2</v>
      </c>
      <c r="AV280" s="5">
        <v>7.0000000000000007E-2</v>
      </c>
      <c r="AW280" s="5">
        <v>10.92</v>
      </c>
      <c r="AX280" s="5">
        <v>14.76</v>
      </c>
      <c r="AY280" s="5">
        <v>0.02</v>
      </c>
      <c r="BB280" s="5">
        <v>13.4</v>
      </c>
    </row>
    <row r="281" spans="1:54" x14ac:dyDescent="0.3">
      <c r="A281" s="1" t="s">
        <v>14</v>
      </c>
      <c r="B281" s="1" t="s">
        <v>15</v>
      </c>
      <c r="C281" s="1" t="s">
        <v>16</v>
      </c>
      <c r="D281" s="5">
        <v>46</v>
      </c>
      <c r="E281" s="5">
        <v>120</v>
      </c>
      <c r="F281" s="1" t="s">
        <v>17</v>
      </c>
      <c r="G281" s="5" t="s">
        <v>348</v>
      </c>
      <c r="H281" s="5" t="s">
        <v>349</v>
      </c>
      <c r="I281" s="6">
        <v>6.3001502894621808E-6</v>
      </c>
      <c r="J281" s="3" t="s">
        <v>445</v>
      </c>
      <c r="K281" s="5">
        <v>48.41</v>
      </c>
      <c r="L281" s="5">
        <v>0.17</v>
      </c>
      <c r="M281" s="5">
        <v>9.07</v>
      </c>
      <c r="N281" s="5">
        <v>8.3800000000000008</v>
      </c>
      <c r="O281" s="5">
        <v>3.9</v>
      </c>
      <c r="P281" s="5">
        <v>2.15</v>
      </c>
      <c r="Q281" s="5">
        <v>0</v>
      </c>
      <c r="R281" s="5">
        <v>196</v>
      </c>
      <c r="W281" s="5">
        <v>46.2</v>
      </c>
      <c r="X281" s="5">
        <v>651.70000000000005</v>
      </c>
      <c r="Y281" s="5">
        <v>3.8</v>
      </c>
      <c r="Z281" s="5">
        <v>6.63</v>
      </c>
      <c r="AA281" s="5">
        <v>1.62</v>
      </c>
      <c r="AB281" s="5">
        <v>69.599999999999994</v>
      </c>
      <c r="AC281" s="5">
        <v>4.4800000000000004</v>
      </c>
      <c r="AD281" s="5">
        <v>41.9</v>
      </c>
      <c r="AE281" s="5">
        <v>80.3</v>
      </c>
      <c r="AH281" s="5">
        <v>1.89</v>
      </c>
      <c r="AI281" s="5">
        <v>537</v>
      </c>
      <c r="AJ281" s="5">
        <v>26.4</v>
      </c>
      <c r="AK281" s="5">
        <v>238</v>
      </c>
      <c r="AL281" s="5">
        <v>6.2</v>
      </c>
      <c r="AM281" s="5">
        <v>14622.92</v>
      </c>
      <c r="AN281" s="5">
        <v>2618.4</v>
      </c>
      <c r="AO281" s="5">
        <v>2.3703703703703707</v>
      </c>
      <c r="AP281" s="5">
        <v>9.02</v>
      </c>
      <c r="AQ281" s="5">
        <v>10.5</v>
      </c>
      <c r="AR281" s="5">
        <v>1.66</v>
      </c>
      <c r="AS281" s="5">
        <v>0.66</v>
      </c>
      <c r="AT281" s="5">
        <v>17.52</v>
      </c>
      <c r="AU281" s="5">
        <v>0.05</v>
      </c>
      <c r="AV281" s="5">
        <v>0.1</v>
      </c>
      <c r="AW281" s="5">
        <v>7.72</v>
      </c>
      <c r="AX281" s="5">
        <v>12.82</v>
      </c>
      <c r="AY281" s="5">
        <v>0.02</v>
      </c>
      <c r="BB281" s="5">
        <v>36.83</v>
      </c>
    </row>
    <row r="282" spans="1:54" x14ac:dyDescent="0.3">
      <c r="A282" s="1" t="s">
        <v>14</v>
      </c>
      <c r="B282" s="1" t="s">
        <v>15</v>
      </c>
      <c r="C282" s="1" t="s">
        <v>16</v>
      </c>
      <c r="D282" s="5">
        <v>46</v>
      </c>
      <c r="E282" s="5">
        <v>120</v>
      </c>
      <c r="F282" s="1" t="s">
        <v>17</v>
      </c>
      <c r="G282" s="5" t="s">
        <v>350</v>
      </c>
      <c r="H282" s="5" t="s">
        <v>349</v>
      </c>
      <c r="I282" s="6">
        <v>9.8105492725153454E-6</v>
      </c>
      <c r="J282" s="3" t="s">
        <v>445</v>
      </c>
      <c r="K282" s="5">
        <v>48.58</v>
      </c>
      <c r="L282" s="5">
        <v>0.17</v>
      </c>
      <c r="M282" s="5">
        <v>10.59</v>
      </c>
      <c r="N282" s="5">
        <v>9.32</v>
      </c>
      <c r="O282" s="5">
        <v>3.28</v>
      </c>
      <c r="P282" s="5">
        <v>1.41</v>
      </c>
      <c r="Q282" s="5">
        <v>0</v>
      </c>
      <c r="R282" s="5">
        <v>217</v>
      </c>
      <c r="W282" s="5">
        <v>28.1</v>
      </c>
      <c r="X282" s="5">
        <v>479</v>
      </c>
      <c r="Y282" s="5">
        <v>2.65</v>
      </c>
      <c r="Z282" s="5">
        <v>3.52</v>
      </c>
      <c r="AA282" s="5">
        <v>0.87</v>
      </c>
      <c r="AB282" s="5">
        <v>43.2</v>
      </c>
      <c r="AC282" s="5">
        <v>2.66</v>
      </c>
      <c r="AD282" s="5">
        <v>26.3</v>
      </c>
      <c r="AE282" s="5">
        <v>47.8</v>
      </c>
      <c r="AH282" s="5">
        <v>1.64</v>
      </c>
      <c r="AI282" s="5">
        <v>396</v>
      </c>
      <c r="AJ282" s="5">
        <v>21.7</v>
      </c>
      <c r="AK282" s="5">
        <v>146</v>
      </c>
      <c r="AL282" s="5">
        <v>4</v>
      </c>
      <c r="AM282" s="5">
        <v>12465.44</v>
      </c>
      <c r="AN282" s="5">
        <v>2138.36</v>
      </c>
      <c r="AO282" s="5">
        <v>1.6219512195121952</v>
      </c>
      <c r="AP282" s="5">
        <v>6.73</v>
      </c>
      <c r="AQ282" s="5">
        <v>12.27</v>
      </c>
      <c r="AR282" s="5">
        <v>1.64</v>
      </c>
      <c r="AS282" s="5">
        <v>0.65</v>
      </c>
      <c r="AT282" s="5">
        <v>18.57</v>
      </c>
      <c r="AU282" s="5">
        <v>0.06</v>
      </c>
      <c r="AV282" s="5">
        <v>0.1</v>
      </c>
      <c r="AW282" s="5">
        <v>9.17</v>
      </c>
      <c r="AX282" s="5">
        <v>15.06</v>
      </c>
      <c r="AY282" s="5">
        <v>0.02</v>
      </c>
      <c r="BB282" s="5">
        <v>26.34</v>
      </c>
    </row>
    <row r="283" spans="1:54" x14ac:dyDescent="0.3">
      <c r="A283" s="1" t="s">
        <v>14</v>
      </c>
      <c r="B283" s="1" t="s">
        <v>15</v>
      </c>
      <c r="C283" s="1" t="s">
        <v>16</v>
      </c>
      <c r="D283" s="5">
        <v>47.293300000000002</v>
      </c>
      <c r="E283" s="5">
        <v>120.44329999999999</v>
      </c>
      <c r="F283" s="1" t="s">
        <v>17</v>
      </c>
      <c r="G283" s="5" t="s">
        <v>351</v>
      </c>
      <c r="H283" s="5" t="s">
        <v>352</v>
      </c>
      <c r="I283" s="6">
        <v>8.3191327576059848E-5</v>
      </c>
      <c r="J283" s="3" t="s">
        <v>445</v>
      </c>
      <c r="K283" s="5">
        <v>49.4</v>
      </c>
      <c r="L283" s="5">
        <v>0.16</v>
      </c>
      <c r="M283" s="5">
        <v>9.56</v>
      </c>
      <c r="N283" s="5">
        <v>9.41</v>
      </c>
      <c r="O283" s="5">
        <v>3.13</v>
      </c>
      <c r="P283" s="5">
        <v>1.42</v>
      </c>
      <c r="Q283" s="5">
        <v>217</v>
      </c>
      <c r="R283" s="5">
        <v>402</v>
      </c>
      <c r="W283" s="5">
        <v>26.2</v>
      </c>
      <c r="X283" s="5">
        <v>421</v>
      </c>
      <c r="Y283" s="5">
        <v>3.04</v>
      </c>
      <c r="Z283" s="5">
        <v>3.04</v>
      </c>
      <c r="AA283" s="5">
        <v>0.78</v>
      </c>
      <c r="AB283" s="5">
        <v>44</v>
      </c>
      <c r="AC283" s="5">
        <v>2.61</v>
      </c>
      <c r="AD283" s="5">
        <v>22.5</v>
      </c>
      <c r="AE283" s="5">
        <v>44.8</v>
      </c>
      <c r="AH283" s="5">
        <v>1.64</v>
      </c>
      <c r="AI283" s="5">
        <v>374</v>
      </c>
      <c r="AJ283" s="5">
        <v>152</v>
      </c>
      <c r="AK283" s="5">
        <v>44</v>
      </c>
      <c r="AL283" s="5">
        <v>2.61</v>
      </c>
      <c r="AM283" s="5">
        <v>12285.65</v>
      </c>
      <c r="AN283" s="5">
        <v>1789.24</v>
      </c>
      <c r="AO283" s="5">
        <v>1.5914634146341464</v>
      </c>
      <c r="AP283" s="5">
        <v>0.28999999999999998</v>
      </c>
      <c r="AQ283" s="5">
        <v>14.47</v>
      </c>
      <c r="AR283" s="5">
        <v>1.96</v>
      </c>
      <c r="AS283" s="5">
        <v>0.6</v>
      </c>
      <c r="AT283" s="5">
        <v>17.91</v>
      </c>
      <c r="AU283" s="5">
        <v>7.0000000000000007E-2</v>
      </c>
      <c r="AV283" s="5">
        <v>0.13</v>
      </c>
      <c r="AW283" s="5">
        <v>8.5</v>
      </c>
      <c r="AX283" s="5">
        <v>16.62</v>
      </c>
      <c r="AY283" s="5">
        <v>0.02</v>
      </c>
      <c r="BB283" s="5">
        <v>26.83</v>
      </c>
    </row>
    <row r="284" spans="1:54" x14ac:dyDescent="0.3">
      <c r="A284" s="1" t="s">
        <v>14</v>
      </c>
      <c r="B284" s="1" t="s">
        <v>15</v>
      </c>
      <c r="C284" s="1" t="s">
        <v>16</v>
      </c>
      <c r="D284" s="5">
        <v>47.291699999999999</v>
      </c>
      <c r="E284" s="5">
        <v>120.44670000000001</v>
      </c>
      <c r="F284" s="1" t="s">
        <v>17</v>
      </c>
      <c r="G284" s="5" t="s">
        <v>353</v>
      </c>
      <c r="H284" s="5" t="s">
        <v>354</v>
      </c>
      <c r="I284" s="6">
        <v>1.4648934666183781E-5</v>
      </c>
      <c r="J284" s="3" t="s">
        <v>445</v>
      </c>
      <c r="K284" s="5">
        <v>51.47</v>
      </c>
      <c r="L284" s="5">
        <v>0.16</v>
      </c>
      <c r="M284" s="5">
        <v>8.24</v>
      </c>
      <c r="N284" s="5">
        <v>9.23</v>
      </c>
      <c r="O284" s="5">
        <v>3.3</v>
      </c>
      <c r="P284" s="5">
        <v>1.41</v>
      </c>
      <c r="Q284" s="5">
        <v>212</v>
      </c>
      <c r="R284" s="5">
        <v>325</v>
      </c>
      <c r="W284" s="5">
        <v>28.5</v>
      </c>
      <c r="X284" s="5">
        <v>400</v>
      </c>
      <c r="Y284" s="5">
        <v>3.31</v>
      </c>
      <c r="Z284" s="5">
        <v>3.31</v>
      </c>
      <c r="AA284" s="5">
        <v>0.88</v>
      </c>
      <c r="AB284" s="5">
        <v>47</v>
      </c>
      <c r="AC284" s="5">
        <v>2.77</v>
      </c>
      <c r="AD284" s="5">
        <v>21.8</v>
      </c>
      <c r="AE284" s="5">
        <v>42.7</v>
      </c>
      <c r="AH284" s="5">
        <v>1.64</v>
      </c>
      <c r="AI284" s="5">
        <v>379</v>
      </c>
      <c r="AJ284" s="5">
        <v>154</v>
      </c>
      <c r="AK284" s="5">
        <v>47</v>
      </c>
      <c r="AL284" s="5">
        <v>2.77</v>
      </c>
      <c r="AM284" s="5">
        <v>12045.93</v>
      </c>
      <c r="AN284" s="5">
        <v>1701.96</v>
      </c>
      <c r="AO284" s="5">
        <v>1.6890243902439026</v>
      </c>
      <c r="AP284" s="5">
        <v>0.31</v>
      </c>
      <c r="AQ284" s="5">
        <v>14.2</v>
      </c>
      <c r="AR284" s="5">
        <v>2.16</v>
      </c>
      <c r="AS284" s="5">
        <v>0.61</v>
      </c>
      <c r="AT284" s="5">
        <v>18.100000000000001</v>
      </c>
      <c r="AU284" s="5">
        <v>7.0000000000000007E-2</v>
      </c>
      <c r="AV284" s="5">
        <v>0.15</v>
      </c>
      <c r="AW284" s="5">
        <v>8.06</v>
      </c>
      <c r="AX284" s="5">
        <v>17.39</v>
      </c>
      <c r="AY284" s="5">
        <v>0.02</v>
      </c>
      <c r="BB284" s="5">
        <v>28.66</v>
      </c>
    </row>
    <row r="285" spans="1:54" x14ac:dyDescent="0.3">
      <c r="A285" s="1" t="s">
        <v>14</v>
      </c>
      <c r="B285" s="1" t="s">
        <v>15</v>
      </c>
      <c r="C285" s="1" t="s">
        <v>16</v>
      </c>
      <c r="D285" s="5">
        <v>47.318300000000001</v>
      </c>
      <c r="E285" s="5">
        <v>120.4483</v>
      </c>
      <c r="F285" s="1" t="s">
        <v>17</v>
      </c>
      <c r="G285" s="5" t="s">
        <v>355</v>
      </c>
      <c r="H285" s="5" t="s">
        <v>354</v>
      </c>
      <c r="I285" s="6">
        <v>1.185088967758929E-5</v>
      </c>
      <c r="J285" s="3" t="s">
        <v>445</v>
      </c>
      <c r="K285" s="5">
        <v>51.11</v>
      </c>
      <c r="L285" s="5">
        <v>0.15</v>
      </c>
      <c r="M285" s="5">
        <v>8.26</v>
      </c>
      <c r="N285" s="5">
        <v>9.11</v>
      </c>
      <c r="O285" s="5">
        <v>3.3</v>
      </c>
      <c r="P285" s="5">
        <v>1.42</v>
      </c>
      <c r="Q285" s="5">
        <v>210</v>
      </c>
      <c r="R285" s="5">
        <v>325</v>
      </c>
      <c r="W285" s="5">
        <v>29.3</v>
      </c>
      <c r="X285" s="5">
        <v>408</v>
      </c>
      <c r="Y285" s="5">
        <v>3.37</v>
      </c>
      <c r="Z285" s="5">
        <v>3.37</v>
      </c>
      <c r="AA285" s="5">
        <v>0.9</v>
      </c>
      <c r="AB285" s="5">
        <v>47</v>
      </c>
      <c r="AC285" s="5">
        <v>2.82</v>
      </c>
      <c r="AD285" s="5">
        <v>22.4</v>
      </c>
      <c r="AE285" s="5">
        <v>43.8</v>
      </c>
      <c r="AH285" s="5">
        <v>1.63</v>
      </c>
      <c r="AI285" s="5">
        <v>373</v>
      </c>
      <c r="AJ285" s="5">
        <v>156</v>
      </c>
      <c r="AK285" s="5">
        <v>47</v>
      </c>
      <c r="AL285" s="5">
        <v>2.82</v>
      </c>
      <c r="AM285" s="5">
        <v>12045.93</v>
      </c>
      <c r="AN285" s="5">
        <v>1701.96</v>
      </c>
      <c r="AO285" s="5">
        <v>1.7300613496932515</v>
      </c>
      <c r="AP285" s="5">
        <v>0.3</v>
      </c>
      <c r="AQ285" s="5">
        <v>13.95</v>
      </c>
      <c r="AR285" s="5">
        <v>2.1</v>
      </c>
      <c r="AS285" s="5">
        <v>0.62</v>
      </c>
      <c r="AT285" s="5">
        <v>18.05</v>
      </c>
      <c r="AU285" s="5">
        <v>7.0000000000000007E-2</v>
      </c>
      <c r="AV285" s="5">
        <v>0.15</v>
      </c>
      <c r="AW285" s="5">
        <v>7.94</v>
      </c>
      <c r="AX285" s="5">
        <v>16.649999999999999</v>
      </c>
      <c r="AY285" s="5">
        <v>0.02</v>
      </c>
      <c r="BB285" s="5">
        <v>28.83</v>
      </c>
    </row>
    <row r="286" spans="1:54" x14ac:dyDescent="0.3">
      <c r="A286" s="1" t="s">
        <v>14</v>
      </c>
      <c r="B286" s="1" t="s">
        <v>15</v>
      </c>
      <c r="C286" s="1" t="s">
        <v>16</v>
      </c>
      <c r="D286" s="5">
        <v>47.371699999999997</v>
      </c>
      <c r="E286" s="5">
        <v>120.52330000000001</v>
      </c>
      <c r="F286" s="1" t="s">
        <v>17</v>
      </c>
      <c r="G286" s="5" t="s">
        <v>356</v>
      </c>
      <c r="H286" s="5" t="s">
        <v>354</v>
      </c>
      <c r="I286" s="6">
        <v>4.2700567064457573E-6</v>
      </c>
      <c r="J286" s="3" t="s">
        <v>445</v>
      </c>
      <c r="K286" s="5">
        <v>50.87</v>
      </c>
      <c r="L286" s="5">
        <v>0.15</v>
      </c>
      <c r="M286" s="5">
        <v>8.5399999999999991</v>
      </c>
      <c r="N286" s="5">
        <v>9.5</v>
      </c>
      <c r="O286" s="5">
        <v>3.3</v>
      </c>
      <c r="P286" s="5">
        <v>1.6</v>
      </c>
      <c r="Q286" s="5">
        <v>215</v>
      </c>
      <c r="R286" s="5">
        <v>317</v>
      </c>
      <c r="W286" s="5">
        <v>33.799999999999997</v>
      </c>
      <c r="X286" s="5">
        <v>454</v>
      </c>
      <c r="Y286" s="5">
        <v>3.6</v>
      </c>
      <c r="Z286" s="5">
        <v>3.6</v>
      </c>
      <c r="AA286" s="5">
        <v>0.92</v>
      </c>
      <c r="AB286" s="5">
        <v>51</v>
      </c>
      <c r="AC286" s="5">
        <v>3.05</v>
      </c>
      <c r="AD286" s="5">
        <v>24.1</v>
      </c>
      <c r="AE286" s="5">
        <v>47.5</v>
      </c>
      <c r="AH286" s="5">
        <v>1.62</v>
      </c>
      <c r="AI286" s="5">
        <v>416</v>
      </c>
      <c r="AJ286" s="5">
        <v>172</v>
      </c>
      <c r="AK286" s="5">
        <v>51</v>
      </c>
      <c r="AL286" s="5">
        <v>3.05</v>
      </c>
      <c r="AM286" s="5">
        <v>13124.67</v>
      </c>
      <c r="AN286" s="5">
        <v>1920.16</v>
      </c>
      <c r="AO286" s="5">
        <v>1.8827160493827158</v>
      </c>
      <c r="AP286" s="5">
        <v>0.3</v>
      </c>
      <c r="AQ286" s="5">
        <v>14.17</v>
      </c>
      <c r="AR286" s="5">
        <v>2.12</v>
      </c>
      <c r="AS286" s="5">
        <v>0.66</v>
      </c>
      <c r="AT286" s="5">
        <v>18.38</v>
      </c>
      <c r="AU286" s="5">
        <v>7.0000000000000007E-2</v>
      </c>
      <c r="AV286" s="5">
        <v>0.15</v>
      </c>
      <c r="AW286" s="5">
        <v>8.16</v>
      </c>
      <c r="AX286" s="5">
        <v>17.260000000000002</v>
      </c>
      <c r="AY286" s="5">
        <v>0.02</v>
      </c>
      <c r="BB286" s="5">
        <v>31.48</v>
      </c>
    </row>
    <row r="287" spans="1:54" x14ac:dyDescent="0.3">
      <c r="A287" s="1" t="s">
        <v>14</v>
      </c>
      <c r="B287" s="1" t="s">
        <v>15</v>
      </c>
      <c r="C287" s="1" t="s">
        <v>16</v>
      </c>
      <c r="D287" s="5">
        <v>47.353299999999997</v>
      </c>
      <c r="E287" s="5">
        <v>120.5967</v>
      </c>
      <c r="F287" s="1" t="s">
        <v>17</v>
      </c>
      <c r="G287" s="5" t="s">
        <v>357</v>
      </c>
      <c r="H287" s="5" t="s">
        <v>352</v>
      </c>
      <c r="I287" s="6">
        <v>2.19017547351541E-5</v>
      </c>
      <c r="J287" s="3" t="s">
        <v>445</v>
      </c>
      <c r="K287" s="5">
        <v>49.65</v>
      </c>
      <c r="L287" s="5">
        <v>0.15</v>
      </c>
      <c r="M287" s="5">
        <v>9.56</v>
      </c>
      <c r="N287" s="5">
        <v>9.44</v>
      </c>
      <c r="O287" s="5">
        <v>3.26</v>
      </c>
      <c r="P287" s="5">
        <v>1.7</v>
      </c>
      <c r="Q287" s="5">
        <v>213</v>
      </c>
      <c r="R287" s="5">
        <v>446</v>
      </c>
      <c r="W287" s="5">
        <v>33.700000000000003</v>
      </c>
      <c r="X287" s="5">
        <v>478</v>
      </c>
      <c r="Y287" s="5">
        <v>3.6</v>
      </c>
      <c r="Z287" s="5">
        <v>3.6</v>
      </c>
      <c r="AA287" s="5">
        <v>0.95</v>
      </c>
      <c r="AB287" s="5">
        <v>53</v>
      </c>
      <c r="AC287" s="5">
        <v>3.1</v>
      </c>
      <c r="AD287" s="5">
        <v>24.9</v>
      </c>
      <c r="AE287" s="5">
        <v>49.1</v>
      </c>
      <c r="AH287" s="5">
        <v>1.59</v>
      </c>
      <c r="AI287" s="5">
        <v>443</v>
      </c>
      <c r="AJ287" s="5">
        <v>177</v>
      </c>
      <c r="AK287" s="5">
        <v>53</v>
      </c>
      <c r="AL287" s="5">
        <v>3.1</v>
      </c>
      <c r="AM287" s="5">
        <v>13184.6</v>
      </c>
      <c r="AN287" s="5">
        <v>2051.08</v>
      </c>
      <c r="AO287" s="5">
        <v>1.949685534591195</v>
      </c>
      <c r="AP287" s="5">
        <v>0.3</v>
      </c>
      <c r="AQ287" s="5">
        <v>14.72</v>
      </c>
      <c r="AR287" s="5">
        <v>2.13</v>
      </c>
      <c r="AS287" s="5">
        <v>0.64</v>
      </c>
      <c r="AT287" s="5">
        <v>18.670000000000002</v>
      </c>
      <c r="AU287" s="5">
        <v>7.0000000000000007E-2</v>
      </c>
      <c r="AV287" s="5">
        <v>0.14000000000000001</v>
      </c>
      <c r="AW287" s="5">
        <v>8.36</v>
      </c>
      <c r="AX287" s="5">
        <v>17.79</v>
      </c>
      <c r="AY287" s="5">
        <v>0.02</v>
      </c>
      <c r="BB287" s="5">
        <v>33.33</v>
      </c>
    </row>
    <row r="288" spans="1:54" x14ac:dyDescent="0.3">
      <c r="A288" s="1" t="s">
        <v>14</v>
      </c>
      <c r="B288" s="1" t="s">
        <v>15</v>
      </c>
      <c r="C288" s="1" t="s">
        <v>16</v>
      </c>
      <c r="D288" s="5">
        <v>47.37</v>
      </c>
      <c r="E288" s="5">
        <v>120.485</v>
      </c>
      <c r="F288" s="1" t="s">
        <v>17</v>
      </c>
      <c r="G288" s="5" t="s">
        <v>358</v>
      </c>
      <c r="H288" s="5" t="s">
        <v>354</v>
      </c>
      <c r="I288" s="6">
        <v>3.8151683838805177E-5</v>
      </c>
      <c r="J288" s="3" t="s">
        <v>445</v>
      </c>
      <c r="K288" s="5">
        <v>50.76</v>
      </c>
      <c r="L288" s="5">
        <v>0.16</v>
      </c>
      <c r="M288" s="5">
        <v>8.42</v>
      </c>
      <c r="N288" s="5">
        <v>9.02</v>
      </c>
      <c r="O288" s="5">
        <v>3.41</v>
      </c>
      <c r="P288" s="5">
        <v>1.5</v>
      </c>
      <c r="Q288" s="5">
        <v>20.9</v>
      </c>
      <c r="R288" s="5">
        <v>206</v>
      </c>
      <c r="W288" s="5">
        <v>27.7</v>
      </c>
      <c r="X288" s="5">
        <v>445</v>
      </c>
      <c r="Y288" s="5">
        <v>2.2999999999999998</v>
      </c>
      <c r="Z288" s="5">
        <v>3.23</v>
      </c>
      <c r="AA288" s="5">
        <v>0.93</v>
      </c>
      <c r="AB288" s="5">
        <v>50</v>
      </c>
      <c r="AC288" s="5">
        <v>3.04</v>
      </c>
      <c r="AD288" s="5">
        <v>23.8</v>
      </c>
      <c r="AE288" s="5">
        <v>47</v>
      </c>
      <c r="AH288" s="5">
        <v>1.71</v>
      </c>
      <c r="AI288" s="5">
        <v>343</v>
      </c>
      <c r="AJ288" s="5">
        <v>25.2</v>
      </c>
      <c r="AK288" s="5">
        <v>166</v>
      </c>
      <c r="AL288" s="5">
        <v>3.8</v>
      </c>
      <c r="AM288" s="5">
        <v>11746.28</v>
      </c>
      <c r="AN288" s="5">
        <v>1832.88</v>
      </c>
      <c r="AO288" s="5">
        <v>1.7777777777777779</v>
      </c>
      <c r="AP288" s="5">
        <v>6.59</v>
      </c>
      <c r="AQ288" s="5">
        <v>15.48</v>
      </c>
      <c r="AR288" s="5">
        <v>2.1</v>
      </c>
      <c r="AS288" s="5">
        <v>0.55000000000000004</v>
      </c>
      <c r="AT288" s="5">
        <v>18.46</v>
      </c>
      <c r="AU288" s="5">
        <v>0.05</v>
      </c>
      <c r="AV288" s="5">
        <v>0.1</v>
      </c>
      <c r="AW288" s="5">
        <v>6.86</v>
      </c>
      <c r="AX288" s="5">
        <v>14.41</v>
      </c>
      <c r="AY288" s="5">
        <v>0.02</v>
      </c>
      <c r="BB288" s="5">
        <v>29.24</v>
      </c>
    </row>
    <row r="289" spans="1:54" x14ac:dyDescent="0.3">
      <c r="A289" s="1" t="s">
        <v>14</v>
      </c>
      <c r="B289" s="1" t="s">
        <v>15</v>
      </c>
      <c r="C289" s="1" t="s">
        <v>16</v>
      </c>
      <c r="D289" s="5">
        <v>47.5533</v>
      </c>
      <c r="E289" s="5">
        <v>120.2966</v>
      </c>
      <c r="F289" s="1" t="s">
        <v>17</v>
      </c>
      <c r="G289" s="5" t="s">
        <v>359</v>
      </c>
      <c r="H289" s="5" t="s">
        <v>352</v>
      </c>
      <c r="I289" s="6">
        <v>5.4887718761165161E-6</v>
      </c>
      <c r="J289" s="3" t="s">
        <v>445</v>
      </c>
      <c r="K289" s="5">
        <v>50.06</v>
      </c>
      <c r="L289" s="5">
        <v>0.16</v>
      </c>
      <c r="M289" s="5">
        <v>9.94</v>
      </c>
      <c r="N289" s="5">
        <v>9.65</v>
      </c>
      <c r="O289" s="5">
        <v>3</v>
      </c>
      <c r="P289" s="5">
        <v>1.71</v>
      </c>
      <c r="Q289" s="5">
        <v>22.8</v>
      </c>
      <c r="R289" s="5">
        <v>227</v>
      </c>
      <c r="W289" s="5">
        <v>39.200000000000003</v>
      </c>
      <c r="X289" s="5">
        <v>493</v>
      </c>
      <c r="Y289" s="5">
        <v>3.1</v>
      </c>
      <c r="Z289" s="5">
        <v>3.69</v>
      </c>
      <c r="AA289" s="5">
        <v>0.97</v>
      </c>
      <c r="AB289" s="5">
        <v>49</v>
      </c>
      <c r="AC289" s="5">
        <v>2.82</v>
      </c>
      <c r="AD289" s="5">
        <v>24.9</v>
      </c>
      <c r="AE289" s="5">
        <v>49.4</v>
      </c>
      <c r="AH289" s="5">
        <v>1.63</v>
      </c>
      <c r="AI289" s="5">
        <v>478</v>
      </c>
      <c r="AJ289" s="5">
        <v>23.3</v>
      </c>
      <c r="AK289" s="5">
        <v>176</v>
      </c>
      <c r="AL289" s="5">
        <v>3.94</v>
      </c>
      <c r="AM289" s="5">
        <v>13004.81</v>
      </c>
      <c r="AN289" s="5">
        <v>2051.08</v>
      </c>
      <c r="AO289" s="5">
        <v>1.7300613496932515</v>
      </c>
      <c r="AP289" s="5">
        <v>7.55</v>
      </c>
      <c r="AQ289" s="5">
        <v>13.28</v>
      </c>
      <c r="AR289" s="5">
        <v>1.97</v>
      </c>
      <c r="AS289" s="5">
        <v>0.8</v>
      </c>
      <c r="AT289" s="5">
        <v>19.260000000000002</v>
      </c>
      <c r="AU289" s="5">
        <v>0.06</v>
      </c>
      <c r="AV289" s="5">
        <v>0.12</v>
      </c>
      <c r="AW289" s="5">
        <v>9.76</v>
      </c>
      <c r="AX289" s="5">
        <v>19.2</v>
      </c>
      <c r="AY289" s="5">
        <v>0.02</v>
      </c>
      <c r="BB289" s="5">
        <v>30.06</v>
      </c>
    </row>
    <row r="290" spans="1:54" x14ac:dyDescent="0.3">
      <c r="A290" s="1" t="s">
        <v>14</v>
      </c>
      <c r="B290" s="1" t="s">
        <v>15</v>
      </c>
      <c r="C290" s="1" t="s">
        <v>16</v>
      </c>
      <c r="D290" s="5">
        <v>47.66</v>
      </c>
      <c r="E290" s="5">
        <v>121.27330000000001</v>
      </c>
      <c r="F290" s="1" t="s">
        <v>17</v>
      </c>
      <c r="G290" s="5" t="s">
        <v>360</v>
      </c>
      <c r="H290" s="5" t="s">
        <v>352</v>
      </c>
      <c r="I290" s="6">
        <v>1.3755848158325529E-5</v>
      </c>
      <c r="J290" s="3" t="s">
        <v>445</v>
      </c>
      <c r="K290" s="5">
        <v>49.18</v>
      </c>
      <c r="L290" s="5">
        <v>0.16</v>
      </c>
      <c r="M290" s="5">
        <v>9.99</v>
      </c>
      <c r="N290" s="5">
        <v>9.8000000000000007</v>
      </c>
      <c r="O290" s="5">
        <v>3.18</v>
      </c>
      <c r="P290" s="5">
        <v>1.67</v>
      </c>
      <c r="Q290" s="5">
        <v>22</v>
      </c>
      <c r="R290" s="5">
        <v>227</v>
      </c>
      <c r="W290" s="5">
        <v>31.7</v>
      </c>
      <c r="X290" s="5">
        <v>510</v>
      </c>
      <c r="Y290" s="5">
        <v>2.8</v>
      </c>
      <c r="Z290" s="5">
        <v>3.58</v>
      </c>
      <c r="AA290" s="5">
        <v>0.79</v>
      </c>
      <c r="AB290" s="5">
        <v>50</v>
      </c>
      <c r="AC290" s="5">
        <v>2.95</v>
      </c>
      <c r="AD290" s="5">
        <v>24.9</v>
      </c>
      <c r="AE290" s="5">
        <v>49.8</v>
      </c>
      <c r="AH290" s="5">
        <v>1.64</v>
      </c>
      <c r="AI290" s="5">
        <v>453</v>
      </c>
      <c r="AJ290" s="5">
        <v>23.3</v>
      </c>
      <c r="AK290" s="5">
        <v>172</v>
      </c>
      <c r="AL290" s="5">
        <v>3.83</v>
      </c>
      <c r="AM290" s="5">
        <v>13004.81</v>
      </c>
      <c r="AN290" s="5">
        <v>2182</v>
      </c>
      <c r="AO290" s="5">
        <v>1.7987804878048783</v>
      </c>
      <c r="AP290" s="5">
        <v>7.38</v>
      </c>
      <c r="AQ290" s="5">
        <v>13.97</v>
      </c>
      <c r="AR290" s="5">
        <v>2.0099999999999998</v>
      </c>
      <c r="AS290" s="5">
        <v>0.63</v>
      </c>
      <c r="AT290" s="5">
        <v>19.77</v>
      </c>
      <c r="AU290" s="5">
        <v>0.06</v>
      </c>
      <c r="AV290" s="5">
        <v>0.11</v>
      </c>
      <c r="AW290" s="5">
        <v>9.06</v>
      </c>
      <c r="AX290" s="5">
        <v>18.190000000000001</v>
      </c>
      <c r="AY290" s="5">
        <v>0.02</v>
      </c>
      <c r="BB290" s="5">
        <v>30.49</v>
      </c>
    </row>
    <row r="291" spans="1:54" x14ac:dyDescent="0.3">
      <c r="A291" s="1" t="s">
        <v>14</v>
      </c>
      <c r="B291" s="1" t="s">
        <v>15</v>
      </c>
      <c r="C291" s="1" t="s">
        <v>16</v>
      </c>
      <c r="D291" s="5">
        <v>47.878300000000003</v>
      </c>
      <c r="E291" s="5">
        <v>121.22329999999999</v>
      </c>
      <c r="F291" s="1" t="s">
        <v>17</v>
      </c>
      <c r="G291" s="5" t="s">
        <v>361</v>
      </c>
      <c r="H291" s="5" t="s">
        <v>352</v>
      </c>
      <c r="I291" s="6">
        <v>3.1720651895739138E-4</v>
      </c>
      <c r="J291" s="3" t="s">
        <v>445</v>
      </c>
      <c r="K291" s="5">
        <v>49.17</v>
      </c>
      <c r="L291" s="5">
        <v>0.16</v>
      </c>
      <c r="M291" s="5">
        <v>9.31</v>
      </c>
      <c r="N291" s="5">
        <v>9.66</v>
      </c>
      <c r="O291" s="5">
        <v>3.16</v>
      </c>
      <c r="P291" s="5">
        <v>1.43</v>
      </c>
      <c r="Q291" s="5">
        <v>21.5</v>
      </c>
      <c r="R291" s="5">
        <v>218</v>
      </c>
      <c r="W291" s="5">
        <v>22.9</v>
      </c>
      <c r="X291" s="5">
        <v>474</v>
      </c>
      <c r="Y291" s="5">
        <v>2.6</v>
      </c>
      <c r="Z291" s="5">
        <v>2.97</v>
      </c>
      <c r="AA291" s="5">
        <v>0.86</v>
      </c>
      <c r="AB291" s="5">
        <v>42</v>
      </c>
      <c r="AC291" s="5">
        <v>2.42</v>
      </c>
      <c r="AD291" s="5">
        <v>21.5</v>
      </c>
      <c r="AE291" s="5">
        <v>44.6</v>
      </c>
      <c r="AH291" s="5">
        <v>1.8</v>
      </c>
      <c r="AI291" s="5">
        <v>340</v>
      </c>
      <c r="AJ291" s="5">
        <v>24.9</v>
      </c>
      <c r="AK291" s="5">
        <v>149</v>
      </c>
      <c r="AL291" s="5">
        <v>3.49</v>
      </c>
      <c r="AM291" s="5">
        <v>13364.39</v>
      </c>
      <c r="AN291" s="5">
        <v>2182</v>
      </c>
      <c r="AO291" s="5">
        <v>1.3444444444444443</v>
      </c>
      <c r="AP291" s="5">
        <v>5.98</v>
      </c>
      <c r="AQ291" s="5">
        <v>14.14</v>
      </c>
      <c r="AR291" s="5">
        <v>1.95</v>
      </c>
      <c r="AS291" s="5">
        <v>0.55000000000000004</v>
      </c>
      <c r="AT291" s="5">
        <v>19.190000000000001</v>
      </c>
      <c r="AU291" s="5">
        <v>0.06</v>
      </c>
      <c r="AV291" s="5">
        <v>0.11</v>
      </c>
      <c r="AW291" s="5">
        <v>8.1</v>
      </c>
      <c r="AX291" s="5">
        <v>15.81</v>
      </c>
      <c r="AY291" s="5">
        <v>0.02</v>
      </c>
      <c r="BB291" s="5">
        <v>23.33</v>
      </c>
    </row>
    <row r="292" spans="1:54" x14ac:dyDescent="0.3">
      <c r="A292" s="1" t="s">
        <v>14</v>
      </c>
      <c r="B292" s="1" t="s">
        <v>15</v>
      </c>
      <c r="C292" s="1" t="s">
        <v>16</v>
      </c>
      <c r="D292" s="5">
        <v>47.84</v>
      </c>
      <c r="E292" s="5">
        <v>121.0783</v>
      </c>
      <c r="F292" s="1" t="s">
        <v>17</v>
      </c>
      <c r="G292" s="5" t="s">
        <v>362</v>
      </c>
      <c r="H292" s="5" t="s">
        <v>352</v>
      </c>
      <c r="I292" s="6">
        <v>1.7781242786441001E-4</v>
      </c>
      <c r="J292" s="3" t="s">
        <v>445</v>
      </c>
      <c r="K292" s="5">
        <v>49.19</v>
      </c>
      <c r="L292" s="5">
        <v>0.16</v>
      </c>
      <c r="M292" s="5">
        <v>9.73</v>
      </c>
      <c r="N292" s="5">
        <v>9.48</v>
      </c>
      <c r="O292" s="5">
        <v>3.19</v>
      </c>
      <c r="P292" s="5">
        <v>1.33</v>
      </c>
      <c r="Q292" s="5">
        <v>21.5</v>
      </c>
      <c r="R292" s="5">
        <v>232</v>
      </c>
      <c r="W292" s="5">
        <v>23.1</v>
      </c>
      <c r="X292" s="5">
        <v>494</v>
      </c>
      <c r="Y292" s="5">
        <v>2.5</v>
      </c>
      <c r="Z292" s="5">
        <v>2.75</v>
      </c>
      <c r="AA292" s="5">
        <v>0.72</v>
      </c>
      <c r="AB292" s="5">
        <v>39</v>
      </c>
      <c r="AC292" s="5">
        <v>2.19</v>
      </c>
      <c r="AD292" s="5">
        <v>21.6</v>
      </c>
      <c r="AE292" s="5">
        <v>45.4</v>
      </c>
      <c r="AH292" s="5">
        <v>1.81</v>
      </c>
      <c r="AI292" s="5">
        <v>342</v>
      </c>
      <c r="AJ292" s="5">
        <v>25.3</v>
      </c>
      <c r="AK292" s="5">
        <v>148</v>
      </c>
      <c r="AL292" s="5">
        <v>3.45</v>
      </c>
      <c r="AM292" s="5">
        <v>13664.04</v>
      </c>
      <c r="AN292" s="5">
        <v>2312.92</v>
      </c>
      <c r="AO292" s="5">
        <v>1.2099447513812154</v>
      </c>
      <c r="AP292" s="5">
        <v>5.85</v>
      </c>
      <c r="AQ292" s="5">
        <v>14.18</v>
      </c>
      <c r="AR292" s="5">
        <v>1.81</v>
      </c>
      <c r="AS292" s="5">
        <v>0.59</v>
      </c>
      <c r="AT292" s="5">
        <v>19.600000000000001</v>
      </c>
      <c r="AU292" s="5">
        <v>0.06</v>
      </c>
      <c r="AV292" s="5">
        <v>0.1</v>
      </c>
      <c r="AW292" s="5">
        <v>8.77</v>
      </c>
      <c r="AX292" s="5">
        <v>15.83</v>
      </c>
      <c r="AY292" s="5">
        <v>0.02</v>
      </c>
      <c r="BB292" s="5">
        <v>21.55</v>
      </c>
    </row>
    <row r="293" spans="1:54" x14ac:dyDescent="0.3">
      <c r="A293" s="1" t="s">
        <v>14</v>
      </c>
      <c r="B293" s="1" t="s">
        <v>15</v>
      </c>
      <c r="C293" s="1" t="s">
        <v>16</v>
      </c>
      <c r="D293" s="5">
        <v>47.825000000000003</v>
      </c>
      <c r="E293" s="5">
        <v>121.01</v>
      </c>
      <c r="F293" s="1" t="s">
        <v>17</v>
      </c>
      <c r="G293" s="5" t="s">
        <v>363</v>
      </c>
      <c r="H293" s="5" t="s">
        <v>354</v>
      </c>
      <c r="I293" s="6">
        <v>5.5273238103836768E-5</v>
      </c>
      <c r="J293" s="3" t="s">
        <v>445</v>
      </c>
      <c r="K293" s="5">
        <v>49.82</v>
      </c>
      <c r="L293" s="5">
        <v>0.17</v>
      </c>
      <c r="M293" s="5">
        <v>9.4700000000000006</v>
      </c>
      <c r="N293" s="5">
        <v>9.69</v>
      </c>
      <c r="O293" s="5">
        <v>2.8</v>
      </c>
      <c r="P293" s="5">
        <v>1.21</v>
      </c>
      <c r="Q293" s="5">
        <v>21.9</v>
      </c>
      <c r="R293" s="5">
        <v>227</v>
      </c>
      <c r="W293" s="5">
        <v>18.899999999999999</v>
      </c>
      <c r="X293" s="5">
        <v>439</v>
      </c>
      <c r="Y293" s="5">
        <v>2</v>
      </c>
      <c r="Z293" s="5">
        <v>2.33</v>
      </c>
      <c r="AA293" s="5">
        <v>0.8</v>
      </c>
      <c r="AB293" s="5">
        <v>35</v>
      </c>
      <c r="AC293" s="5">
        <v>1.99</v>
      </c>
      <c r="AD293" s="5">
        <v>18.100000000000001</v>
      </c>
      <c r="AE293" s="5">
        <v>38.700000000000003</v>
      </c>
      <c r="AH293" s="5">
        <v>1.72</v>
      </c>
      <c r="AI293" s="5">
        <v>271</v>
      </c>
      <c r="AJ293" s="5">
        <v>23.3</v>
      </c>
      <c r="AK293" s="5">
        <v>140</v>
      </c>
      <c r="AL293" s="5">
        <v>3.34</v>
      </c>
      <c r="AM293" s="5">
        <v>13484.25</v>
      </c>
      <c r="AN293" s="5">
        <v>2138.36</v>
      </c>
      <c r="AO293" s="5">
        <v>1.1569767441860466</v>
      </c>
      <c r="AP293" s="5">
        <v>6.01</v>
      </c>
      <c r="AQ293" s="5">
        <v>15.02</v>
      </c>
      <c r="AR293" s="5">
        <v>1.93</v>
      </c>
      <c r="AS293" s="5">
        <v>0.54</v>
      </c>
      <c r="AT293" s="5">
        <v>19.170000000000002</v>
      </c>
      <c r="AU293" s="5">
        <v>0.06</v>
      </c>
      <c r="AV293" s="5">
        <v>0.09</v>
      </c>
      <c r="AW293" s="5">
        <v>7.74</v>
      </c>
      <c r="AX293" s="5">
        <v>14.97</v>
      </c>
      <c r="AY293" s="5">
        <v>0.02</v>
      </c>
      <c r="BB293" s="5">
        <v>20.350000000000001</v>
      </c>
    </row>
    <row r="294" spans="1:54" x14ac:dyDescent="0.3">
      <c r="A294" s="1" t="s">
        <v>14</v>
      </c>
      <c r="B294" s="1" t="s">
        <v>15</v>
      </c>
      <c r="C294" s="1" t="s">
        <v>16</v>
      </c>
      <c r="D294" s="5">
        <v>47.784999999999997</v>
      </c>
      <c r="E294" s="5">
        <v>120.9183</v>
      </c>
      <c r="F294" s="1" t="s">
        <v>17</v>
      </c>
      <c r="G294" s="5" t="s">
        <v>364</v>
      </c>
      <c r="H294" s="5" t="s">
        <v>354</v>
      </c>
      <c r="I294" s="6">
        <v>1.503218081779778E-4</v>
      </c>
      <c r="J294" s="3" t="s">
        <v>445</v>
      </c>
      <c r="K294" s="5">
        <v>50.95</v>
      </c>
      <c r="L294" s="5">
        <v>0.16</v>
      </c>
      <c r="M294" s="5">
        <v>8.74</v>
      </c>
      <c r="N294" s="5">
        <v>9.5299999999999994</v>
      </c>
      <c r="O294" s="5">
        <v>2.93</v>
      </c>
      <c r="P294" s="5">
        <v>0.98</v>
      </c>
      <c r="Q294" s="5">
        <v>23.5</v>
      </c>
      <c r="R294" s="5">
        <v>233</v>
      </c>
      <c r="W294" s="5">
        <v>12.2</v>
      </c>
      <c r="X294" s="5">
        <v>432</v>
      </c>
      <c r="Y294" s="5">
        <v>1.6</v>
      </c>
      <c r="Z294" s="5">
        <v>2.02</v>
      </c>
      <c r="AA294" s="5">
        <v>0.57999999999999996</v>
      </c>
      <c r="AB294" s="5">
        <v>30</v>
      </c>
      <c r="AC294" s="5">
        <v>1.8</v>
      </c>
      <c r="AD294" s="5">
        <v>16</v>
      </c>
      <c r="AE294" s="5">
        <v>37.6</v>
      </c>
      <c r="AH294" s="5">
        <v>1.79</v>
      </c>
      <c r="AI294" s="5">
        <v>271</v>
      </c>
      <c r="AJ294" s="5">
        <v>24.1</v>
      </c>
      <c r="AK294" s="5">
        <v>141</v>
      </c>
      <c r="AL294" s="5">
        <v>3.44</v>
      </c>
      <c r="AM294" s="5">
        <v>14083.55</v>
      </c>
      <c r="AN294" s="5">
        <v>2007.44</v>
      </c>
      <c r="AO294" s="5">
        <v>1.005586592178771</v>
      </c>
      <c r="AP294" s="5">
        <v>5.85</v>
      </c>
      <c r="AQ294" s="5">
        <v>14.85</v>
      </c>
      <c r="AR294" s="5">
        <v>1.88</v>
      </c>
      <c r="AS294" s="5">
        <v>0.41</v>
      </c>
      <c r="AT294" s="5">
        <v>19.82</v>
      </c>
      <c r="AU294" s="5">
        <v>0.05</v>
      </c>
      <c r="AV294" s="5">
        <v>7.0000000000000007E-2</v>
      </c>
      <c r="AW294" s="5">
        <v>9.0299999999999994</v>
      </c>
      <c r="AX294" s="5">
        <v>16.940000000000001</v>
      </c>
      <c r="AY294" s="5">
        <v>0.02</v>
      </c>
      <c r="BB294" s="5">
        <v>16.760000000000002</v>
      </c>
    </row>
    <row r="295" spans="1:54" x14ac:dyDescent="0.3">
      <c r="A295" s="1" t="s">
        <v>14</v>
      </c>
      <c r="B295" s="1" t="s">
        <v>15</v>
      </c>
      <c r="C295" s="1" t="s">
        <v>16</v>
      </c>
      <c r="D295" s="5">
        <v>47.8583</v>
      </c>
      <c r="E295" s="5">
        <v>121.29170000000001</v>
      </c>
      <c r="F295" s="1" t="s">
        <v>17</v>
      </c>
      <c r="G295" s="5" t="s">
        <v>365</v>
      </c>
      <c r="H295" s="5" t="s">
        <v>352</v>
      </c>
      <c r="I295" s="6">
        <v>1.884212397271767E-4</v>
      </c>
      <c r="J295" s="3" t="s">
        <v>445</v>
      </c>
      <c r="K295" s="5">
        <v>48.9</v>
      </c>
      <c r="L295" s="5">
        <v>0.17</v>
      </c>
      <c r="M295" s="5">
        <v>8.7799999999999994</v>
      </c>
      <c r="N295" s="5">
        <v>9.7899999999999991</v>
      </c>
      <c r="O295" s="5">
        <v>3.08</v>
      </c>
      <c r="P295" s="5">
        <v>1.54</v>
      </c>
      <c r="Q295" s="5">
        <v>21.5</v>
      </c>
      <c r="R295" s="5">
        <v>222</v>
      </c>
      <c r="W295" s="5">
        <v>20.8</v>
      </c>
      <c r="X295" s="5">
        <v>545</v>
      </c>
      <c r="Y295" s="5">
        <v>2.2000000000000002</v>
      </c>
      <c r="Z295" s="5">
        <v>2.87</v>
      </c>
      <c r="AA295" s="5">
        <v>0.7</v>
      </c>
      <c r="AB295" s="5">
        <v>44</v>
      </c>
      <c r="AC295" s="5">
        <v>2.52</v>
      </c>
      <c r="AD295" s="5">
        <v>22.2</v>
      </c>
      <c r="AE295" s="5">
        <v>45.7</v>
      </c>
      <c r="AH295" s="5">
        <v>1.73</v>
      </c>
      <c r="AI295" s="5">
        <v>368</v>
      </c>
      <c r="AJ295" s="5">
        <v>24.8</v>
      </c>
      <c r="AK295" s="5">
        <v>156</v>
      </c>
      <c r="AL295" s="5">
        <v>3.62</v>
      </c>
      <c r="AM295" s="5">
        <v>14203.41</v>
      </c>
      <c r="AN295" s="5">
        <v>2356.56</v>
      </c>
      <c r="AO295" s="5">
        <v>1.4566473988439306</v>
      </c>
      <c r="AP295" s="5">
        <v>6.29</v>
      </c>
      <c r="AQ295" s="5">
        <v>15.33</v>
      </c>
      <c r="AR295" s="5">
        <v>1.98</v>
      </c>
      <c r="AS295" s="5">
        <v>0.47</v>
      </c>
      <c r="AT295" s="5">
        <v>21.54</v>
      </c>
      <c r="AU295" s="5">
        <v>0.05</v>
      </c>
      <c r="AV295" s="5">
        <v>0.09</v>
      </c>
      <c r="AW295" s="5">
        <v>8.36</v>
      </c>
      <c r="AX295" s="5">
        <v>16.579999999999998</v>
      </c>
      <c r="AY295" s="5">
        <v>0.02</v>
      </c>
      <c r="BB295" s="5">
        <v>25.43</v>
      </c>
    </row>
    <row r="296" spans="1:54" x14ac:dyDescent="0.3">
      <c r="A296" s="1" t="s">
        <v>14</v>
      </c>
      <c r="B296" s="1" t="s">
        <v>15</v>
      </c>
      <c r="C296" s="1" t="s">
        <v>16</v>
      </c>
      <c r="D296" s="5">
        <v>47.55</v>
      </c>
      <c r="E296" s="5">
        <v>121.2933</v>
      </c>
      <c r="F296" s="1" t="s">
        <v>17</v>
      </c>
      <c r="G296" s="5" t="s">
        <v>366</v>
      </c>
      <c r="H296" s="5" t="s">
        <v>354</v>
      </c>
      <c r="I296" s="6">
        <v>2.120308636222035E-4</v>
      </c>
      <c r="J296" s="3" t="s">
        <v>445</v>
      </c>
      <c r="K296" s="5">
        <v>50.55</v>
      </c>
      <c r="L296" s="5">
        <v>0.16</v>
      </c>
      <c r="M296" s="5">
        <v>8.59</v>
      </c>
      <c r="N296" s="5">
        <v>9.68</v>
      </c>
      <c r="O296" s="5">
        <v>3.33</v>
      </c>
      <c r="P296" s="5">
        <v>1.36</v>
      </c>
      <c r="Q296" s="5">
        <v>23.4</v>
      </c>
      <c r="R296" s="5">
        <v>223</v>
      </c>
      <c r="W296" s="5">
        <v>26.9</v>
      </c>
      <c r="X296" s="5">
        <v>366</v>
      </c>
      <c r="Y296" s="5">
        <v>2.5</v>
      </c>
      <c r="Z296" s="5">
        <v>2.96</v>
      </c>
      <c r="AA296" s="5">
        <v>0.67</v>
      </c>
      <c r="AB296" s="5">
        <v>39</v>
      </c>
      <c r="AC296" s="5">
        <v>2.25</v>
      </c>
      <c r="AD296" s="5">
        <v>20.5</v>
      </c>
      <c r="AE296" s="5">
        <v>40.299999999999997</v>
      </c>
      <c r="AH296" s="5">
        <v>1.7</v>
      </c>
      <c r="AI296" s="5">
        <v>382</v>
      </c>
      <c r="AJ296" s="5">
        <v>23.6</v>
      </c>
      <c r="AK296" s="5">
        <v>145</v>
      </c>
      <c r="AL296" s="5">
        <v>3.35</v>
      </c>
      <c r="AM296" s="5">
        <v>11986</v>
      </c>
      <c r="AN296" s="5">
        <v>1701.96</v>
      </c>
      <c r="AO296" s="5">
        <v>1.3235294117647058</v>
      </c>
      <c r="AP296" s="5">
        <v>6.14</v>
      </c>
      <c r="AQ296" s="5">
        <v>13.18</v>
      </c>
      <c r="AR296" s="5">
        <v>1.9</v>
      </c>
      <c r="AS296" s="5">
        <v>0.69</v>
      </c>
      <c r="AT296" s="5">
        <v>17.68</v>
      </c>
      <c r="AU296" s="5">
        <v>0.06</v>
      </c>
      <c r="AV296" s="5">
        <v>0.12</v>
      </c>
      <c r="AW296" s="5">
        <v>9.7899999999999991</v>
      </c>
      <c r="AX296" s="5">
        <v>18.63</v>
      </c>
      <c r="AY296" s="5">
        <v>0.02</v>
      </c>
      <c r="BB296" s="5">
        <v>22.94</v>
      </c>
    </row>
    <row r="297" spans="1:54" x14ac:dyDescent="0.3">
      <c r="A297" s="1" t="s">
        <v>14</v>
      </c>
      <c r="B297" s="1" t="s">
        <v>15</v>
      </c>
      <c r="C297" s="1" t="s">
        <v>16</v>
      </c>
      <c r="D297" s="5">
        <v>46</v>
      </c>
      <c r="E297" s="5">
        <v>120</v>
      </c>
      <c r="F297" s="1" t="s">
        <v>17</v>
      </c>
      <c r="G297" s="5" t="s">
        <v>367</v>
      </c>
      <c r="H297" s="5" t="s">
        <v>349</v>
      </c>
      <c r="I297" s="6">
        <v>7.3180240178771783E-6</v>
      </c>
      <c r="J297" s="3" t="s">
        <v>445</v>
      </c>
      <c r="K297" s="5">
        <v>48.4</v>
      </c>
      <c r="L297" s="5">
        <v>0.16</v>
      </c>
      <c r="M297" s="5">
        <v>10.35</v>
      </c>
      <c r="N297" s="5">
        <v>8.64</v>
      </c>
      <c r="O297" s="5">
        <v>3.29</v>
      </c>
      <c r="P297" s="5">
        <v>1.64</v>
      </c>
      <c r="Q297" s="5">
        <v>0</v>
      </c>
      <c r="R297" s="5">
        <v>199</v>
      </c>
      <c r="W297" s="5">
        <v>33</v>
      </c>
      <c r="X297" s="5">
        <v>443</v>
      </c>
      <c r="Y297" s="5">
        <v>4.4000000000000004</v>
      </c>
      <c r="Z297" s="5">
        <v>4.1100000000000003</v>
      </c>
      <c r="AA297" s="5">
        <v>1.01</v>
      </c>
      <c r="AB297" s="5">
        <v>45.1</v>
      </c>
      <c r="AC297" s="5">
        <v>2.88</v>
      </c>
      <c r="AD297" s="5">
        <v>26.5</v>
      </c>
      <c r="AE297" s="5">
        <v>51.7</v>
      </c>
      <c r="AH297" s="5">
        <v>1.56</v>
      </c>
      <c r="AI297" s="5">
        <v>430</v>
      </c>
      <c r="AJ297" s="5">
        <v>20.3</v>
      </c>
      <c r="AK297" s="5">
        <v>175</v>
      </c>
      <c r="AL297" s="5">
        <v>4.42</v>
      </c>
      <c r="AM297" s="5">
        <v>13064.74</v>
      </c>
      <c r="AN297" s="5">
        <v>2051.08</v>
      </c>
      <c r="AO297" s="5">
        <v>1.846153846153846</v>
      </c>
      <c r="AP297" s="5">
        <v>8.6199999999999992</v>
      </c>
      <c r="AQ297" s="5">
        <v>10.97</v>
      </c>
      <c r="AR297" s="5">
        <v>1.7</v>
      </c>
      <c r="AS297" s="5">
        <v>0.73</v>
      </c>
      <c r="AT297" s="5">
        <v>17.37</v>
      </c>
      <c r="AU297" s="5">
        <v>0.1</v>
      </c>
      <c r="AV297" s="5">
        <v>0.17</v>
      </c>
      <c r="AW297" s="5">
        <v>9.5299999999999994</v>
      </c>
      <c r="AX297" s="5">
        <v>16.23</v>
      </c>
      <c r="AY297" s="5">
        <v>0.02</v>
      </c>
      <c r="BB297" s="5">
        <v>28.91</v>
      </c>
    </row>
    <row r="298" spans="1:54" x14ac:dyDescent="0.3">
      <c r="A298" s="1" t="s">
        <v>14</v>
      </c>
      <c r="B298" s="1" t="s">
        <v>15</v>
      </c>
      <c r="C298" s="1" t="s">
        <v>16</v>
      </c>
      <c r="D298" s="5">
        <v>46</v>
      </c>
      <c r="E298" s="5">
        <v>120</v>
      </c>
      <c r="F298" s="1" t="s">
        <v>17</v>
      </c>
      <c r="G298" s="5" t="s">
        <v>368</v>
      </c>
      <c r="H298" s="5" t="s">
        <v>349</v>
      </c>
      <c r="I298" s="6">
        <v>3.0352935937116851E-5</v>
      </c>
      <c r="J298" s="3" t="s">
        <v>445</v>
      </c>
      <c r="K298" s="5">
        <v>48.79</v>
      </c>
      <c r="L298" s="5">
        <v>0.16</v>
      </c>
      <c r="M298" s="5">
        <v>10.88</v>
      </c>
      <c r="N298" s="5">
        <v>8.65</v>
      </c>
      <c r="O298" s="5">
        <v>3.19</v>
      </c>
      <c r="P298" s="5">
        <v>1.5</v>
      </c>
      <c r="Q298" s="5">
        <v>0</v>
      </c>
      <c r="R298" s="5">
        <v>201</v>
      </c>
      <c r="W298" s="5">
        <v>29.4</v>
      </c>
      <c r="X298" s="5">
        <v>448.8</v>
      </c>
      <c r="Y298" s="5">
        <v>4.07</v>
      </c>
      <c r="Z298" s="5">
        <v>3.97</v>
      </c>
      <c r="AA298" s="5">
        <v>0.97</v>
      </c>
      <c r="AB298" s="5">
        <v>41.9</v>
      </c>
      <c r="AC298" s="5">
        <v>2.71</v>
      </c>
      <c r="AD298" s="5">
        <v>25.2</v>
      </c>
      <c r="AE298" s="5">
        <v>49.4</v>
      </c>
      <c r="AH298" s="5">
        <v>1.61</v>
      </c>
      <c r="AI298" s="5">
        <v>416</v>
      </c>
      <c r="AJ298" s="5">
        <v>20.399999999999999</v>
      </c>
      <c r="AK298" s="5">
        <v>166</v>
      </c>
      <c r="AL298" s="5">
        <v>0.23</v>
      </c>
      <c r="AM298" s="5">
        <v>11986</v>
      </c>
      <c r="AN298" s="5">
        <v>1876.52</v>
      </c>
      <c r="AO298" s="5">
        <v>1.6832298136645962</v>
      </c>
      <c r="AP298" s="5">
        <v>8.14</v>
      </c>
      <c r="AQ298" s="5">
        <v>10.55</v>
      </c>
      <c r="AR298" s="5">
        <v>1.66</v>
      </c>
      <c r="AS298" s="5">
        <v>0.7</v>
      </c>
      <c r="AT298" s="5">
        <v>18.86</v>
      </c>
      <c r="AU298" s="5">
        <v>0.1</v>
      </c>
      <c r="AV298" s="5">
        <v>0.17</v>
      </c>
      <c r="AW298" s="5">
        <v>9.93</v>
      </c>
      <c r="AX298" s="5">
        <v>16.510000000000002</v>
      </c>
      <c r="AY298" s="5">
        <v>0.02</v>
      </c>
      <c r="BB298" s="5">
        <v>26.02</v>
      </c>
    </row>
    <row r="299" spans="1:54" x14ac:dyDescent="0.3">
      <c r="A299" s="1" t="s">
        <v>14</v>
      </c>
      <c r="B299" s="1" t="s">
        <v>15</v>
      </c>
      <c r="C299" s="1" t="s">
        <v>16</v>
      </c>
      <c r="D299" s="5">
        <v>46</v>
      </c>
      <c r="E299" s="5">
        <v>120</v>
      </c>
      <c r="F299" s="1" t="s">
        <v>17</v>
      </c>
      <c r="G299" s="5" t="s">
        <v>369</v>
      </c>
      <c r="H299" s="5" t="s">
        <v>349</v>
      </c>
      <c r="I299" s="6">
        <v>1.5471858205273751E-5</v>
      </c>
      <c r="J299" s="3" t="s">
        <v>445</v>
      </c>
      <c r="K299" s="5">
        <v>49.02</v>
      </c>
      <c r="L299" s="5">
        <v>0.16</v>
      </c>
      <c r="M299" s="5">
        <v>9.42</v>
      </c>
      <c r="N299" s="5">
        <v>8.82</v>
      </c>
      <c r="O299" s="5">
        <v>2.97</v>
      </c>
      <c r="P299" s="5">
        <v>1.64</v>
      </c>
      <c r="Q299" s="5">
        <v>0</v>
      </c>
      <c r="R299" s="5">
        <v>202</v>
      </c>
      <c r="W299" s="5">
        <v>35</v>
      </c>
      <c r="X299" s="5">
        <v>453</v>
      </c>
      <c r="Y299" s="5">
        <v>6.62</v>
      </c>
      <c r="Z299" s="5">
        <v>3.89</v>
      </c>
      <c r="AA299" s="5">
        <v>1.02</v>
      </c>
      <c r="AB299" s="5">
        <v>45.9</v>
      </c>
      <c r="AC299" s="5">
        <v>2.19</v>
      </c>
      <c r="AD299" s="5">
        <v>27.4</v>
      </c>
      <c r="AE299" s="5">
        <v>53.9</v>
      </c>
      <c r="AH299" s="5">
        <v>1.52</v>
      </c>
      <c r="AI299" s="5">
        <v>445</v>
      </c>
      <c r="AJ299" s="5">
        <v>21.5</v>
      </c>
      <c r="AK299" s="5">
        <v>184</v>
      </c>
      <c r="AL299" s="5">
        <v>4.5199999999999996</v>
      </c>
      <c r="AM299" s="5">
        <v>13723.97</v>
      </c>
      <c r="AN299" s="5">
        <v>2094.7199999999998</v>
      </c>
      <c r="AO299" s="5">
        <v>1.4407894736842104</v>
      </c>
      <c r="AP299" s="5">
        <v>8.56</v>
      </c>
      <c r="AQ299" s="5">
        <v>11.8</v>
      </c>
      <c r="AR299" s="5">
        <v>1.68</v>
      </c>
      <c r="AS299" s="5">
        <v>0.76</v>
      </c>
      <c r="AT299" s="5">
        <v>17.91</v>
      </c>
      <c r="AU299" s="5">
        <v>0.14000000000000001</v>
      </c>
      <c r="AV299" s="5">
        <v>0.26</v>
      </c>
      <c r="AW299" s="5">
        <v>9.69</v>
      </c>
      <c r="AX299" s="5">
        <v>16.239999999999998</v>
      </c>
      <c r="AY299" s="5">
        <v>0.02</v>
      </c>
      <c r="BB299" s="5">
        <v>30.2</v>
      </c>
    </row>
    <row r="300" spans="1:54" x14ac:dyDescent="0.3">
      <c r="A300" s="1" t="s">
        <v>14</v>
      </c>
      <c r="B300" s="1" t="s">
        <v>15</v>
      </c>
      <c r="C300" s="1" t="s">
        <v>16</v>
      </c>
      <c r="D300" s="5">
        <v>46</v>
      </c>
      <c r="E300" s="5">
        <v>120</v>
      </c>
      <c r="F300" s="1" t="s">
        <v>17</v>
      </c>
      <c r="G300" s="5" t="s">
        <v>370</v>
      </c>
      <c r="H300" s="5" t="s">
        <v>349</v>
      </c>
      <c r="I300" s="6">
        <v>2.714926449698396E-5</v>
      </c>
      <c r="J300" s="3" t="s">
        <v>445</v>
      </c>
      <c r="K300" s="5">
        <v>49.2</v>
      </c>
      <c r="L300" s="5">
        <v>0.16</v>
      </c>
      <c r="M300" s="5">
        <v>10.43</v>
      </c>
      <c r="N300" s="5">
        <v>8.9700000000000006</v>
      </c>
      <c r="O300" s="5">
        <v>3.22</v>
      </c>
      <c r="P300" s="5">
        <v>1.36</v>
      </c>
      <c r="Q300" s="5">
        <v>0</v>
      </c>
      <c r="R300" s="5">
        <v>210</v>
      </c>
      <c r="W300" s="5">
        <v>26.9</v>
      </c>
      <c r="X300" s="5">
        <v>398.4</v>
      </c>
      <c r="Y300" s="5">
        <v>2.95</v>
      </c>
      <c r="Z300" s="5">
        <v>3.5</v>
      </c>
      <c r="AA300" s="5">
        <v>0.88</v>
      </c>
      <c r="AB300" s="5">
        <v>40.200000000000003</v>
      </c>
      <c r="AC300" s="5">
        <v>2.59</v>
      </c>
      <c r="AD300" s="5">
        <v>23.1</v>
      </c>
      <c r="AE300" s="5">
        <v>46</v>
      </c>
      <c r="AH300" s="5">
        <v>1.62</v>
      </c>
      <c r="AI300" s="5">
        <v>340</v>
      </c>
      <c r="AJ300" s="5">
        <v>21.7</v>
      </c>
      <c r="AK300" s="5">
        <v>149</v>
      </c>
      <c r="AL300" s="5">
        <v>3.89</v>
      </c>
      <c r="AM300" s="5">
        <v>12285.65</v>
      </c>
      <c r="AN300" s="5">
        <v>1527.4</v>
      </c>
      <c r="AO300" s="5">
        <v>1.5987654320987652</v>
      </c>
      <c r="AP300" s="5">
        <v>6.87</v>
      </c>
      <c r="AQ300" s="5">
        <v>11.49</v>
      </c>
      <c r="AR300" s="5">
        <v>1.74</v>
      </c>
      <c r="AS300" s="5">
        <v>0.67</v>
      </c>
      <c r="AT300" s="5">
        <v>18.36</v>
      </c>
      <c r="AU300" s="5">
        <v>7.0000000000000007E-2</v>
      </c>
      <c r="AV300" s="5">
        <v>0.14000000000000001</v>
      </c>
      <c r="AW300" s="5">
        <v>8.4600000000000009</v>
      </c>
      <c r="AX300" s="5">
        <v>14.72</v>
      </c>
      <c r="AY300" s="5">
        <v>0.02</v>
      </c>
      <c r="BB300" s="5">
        <v>24.81</v>
      </c>
    </row>
    <row r="301" spans="1:54" x14ac:dyDescent="0.3">
      <c r="A301" s="1" t="s">
        <v>14</v>
      </c>
      <c r="B301" s="1" t="s">
        <v>15</v>
      </c>
      <c r="C301" s="1" t="s">
        <v>16</v>
      </c>
      <c r="D301" s="5">
        <v>46</v>
      </c>
      <c r="E301" s="5">
        <v>120</v>
      </c>
      <c r="F301" s="1" t="s">
        <v>17</v>
      </c>
      <c r="G301" s="5" t="s">
        <v>371</v>
      </c>
      <c r="H301" s="5" t="s">
        <v>349</v>
      </c>
      <c r="I301" s="6">
        <v>2.4717766791582111E-5</v>
      </c>
      <c r="J301" s="3" t="s">
        <v>445</v>
      </c>
      <c r="K301" s="5">
        <v>48.49</v>
      </c>
      <c r="L301" s="5">
        <v>0.18</v>
      </c>
      <c r="M301" s="5">
        <v>6.89</v>
      </c>
      <c r="N301" s="5">
        <v>8.8699999999999992</v>
      </c>
      <c r="O301" s="5">
        <v>3.83</v>
      </c>
      <c r="P301" s="5">
        <v>2.4900000000000002</v>
      </c>
      <c r="Q301" s="5">
        <v>0</v>
      </c>
      <c r="R301" s="5">
        <v>173</v>
      </c>
      <c r="W301" s="5">
        <v>57.4</v>
      </c>
      <c r="X301" s="5">
        <v>746</v>
      </c>
      <c r="Y301" s="5">
        <v>5.0999999999999996</v>
      </c>
      <c r="Z301" s="5">
        <v>7.35</v>
      </c>
      <c r="AA301" s="5">
        <v>1.67</v>
      </c>
      <c r="AB301" s="5">
        <v>83.9</v>
      </c>
      <c r="AC301" s="5">
        <v>6.08</v>
      </c>
      <c r="AD301" s="5">
        <v>49.3</v>
      </c>
      <c r="AE301" s="5">
        <v>100.5</v>
      </c>
      <c r="AH301" s="5">
        <v>1.94</v>
      </c>
      <c r="AI301" s="5">
        <v>612</v>
      </c>
      <c r="AJ301" s="5">
        <v>33.799999999999997</v>
      </c>
      <c r="AK301" s="5">
        <v>267</v>
      </c>
      <c r="AL301" s="5">
        <v>7.37</v>
      </c>
      <c r="AM301" s="5">
        <v>16840.330000000002</v>
      </c>
      <c r="AN301" s="5">
        <v>3796.68</v>
      </c>
      <c r="AO301" s="5">
        <v>3.134020618556701</v>
      </c>
      <c r="AP301" s="5">
        <v>7.9</v>
      </c>
      <c r="AQ301" s="5">
        <v>11.41</v>
      </c>
      <c r="AR301" s="5">
        <v>1.7</v>
      </c>
      <c r="AS301" s="5">
        <v>0.68</v>
      </c>
      <c r="AT301" s="5">
        <v>13.61</v>
      </c>
      <c r="AU301" s="5">
        <v>0.06</v>
      </c>
      <c r="AV301" s="5">
        <v>0.09</v>
      </c>
      <c r="AW301" s="5">
        <v>7.29</v>
      </c>
      <c r="AX301" s="5">
        <v>12.41</v>
      </c>
      <c r="AY301" s="5">
        <v>0.02</v>
      </c>
      <c r="BB301" s="5">
        <v>43.25</v>
      </c>
    </row>
    <row r="302" spans="1:54" x14ac:dyDescent="0.3">
      <c r="A302" s="1" t="s">
        <v>14</v>
      </c>
      <c r="B302" s="1" t="s">
        <v>15</v>
      </c>
      <c r="C302" s="1" t="s">
        <v>16</v>
      </c>
      <c r="D302" s="5">
        <v>46</v>
      </c>
      <c r="E302" s="5">
        <v>120</v>
      </c>
      <c r="F302" s="1" t="s">
        <v>17</v>
      </c>
      <c r="G302" s="5" t="s">
        <v>372</v>
      </c>
      <c r="H302" s="5" t="s">
        <v>349</v>
      </c>
      <c r="I302" s="6">
        <v>9.7075954545289278E-4</v>
      </c>
      <c r="J302" s="3" t="s">
        <v>445</v>
      </c>
      <c r="K302" s="5">
        <v>49.93</v>
      </c>
      <c r="L302" s="5">
        <v>0.17</v>
      </c>
      <c r="M302" s="5">
        <v>9.2200000000000006</v>
      </c>
      <c r="N302" s="5">
        <v>9.6300000000000008</v>
      </c>
      <c r="O302" s="5">
        <v>3.15</v>
      </c>
      <c r="P302" s="5">
        <v>1.21</v>
      </c>
      <c r="Q302" s="5">
        <v>0</v>
      </c>
      <c r="R302" s="5">
        <v>245</v>
      </c>
      <c r="W302" s="5">
        <v>26.8</v>
      </c>
      <c r="X302" s="5">
        <v>359</v>
      </c>
      <c r="Y302" s="5">
        <v>2.4300000000000002</v>
      </c>
      <c r="Z302" s="5">
        <v>3.07</v>
      </c>
      <c r="AA302" s="5">
        <v>0.7</v>
      </c>
      <c r="AB302" s="5">
        <v>36.1</v>
      </c>
      <c r="AC302" s="5">
        <v>2.19</v>
      </c>
      <c r="AD302" s="5">
        <v>22</v>
      </c>
      <c r="AE302" s="5">
        <v>39.799999999999997</v>
      </c>
      <c r="AH302" s="5">
        <v>1.87</v>
      </c>
      <c r="AI302" s="5">
        <v>373</v>
      </c>
      <c r="AJ302" s="5">
        <v>22.6</v>
      </c>
      <c r="AK302" s="5">
        <v>131</v>
      </c>
      <c r="AL302" s="5">
        <v>3.62</v>
      </c>
      <c r="AM302" s="5">
        <v>12225.72</v>
      </c>
      <c r="AN302" s="5">
        <v>1614.68</v>
      </c>
      <c r="AO302" s="5">
        <v>1.1711229946524062</v>
      </c>
      <c r="AP302" s="5">
        <v>5.8</v>
      </c>
      <c r="AQ302" s="5">
        <v>11.76</v>
      </c>
      <c r="AR302" s="5">
        <v>1.64</v>
      </c>
      <c r="AS302" s="5">
        <v>0.74</v>
      </c>
      <c r="AT302" s="5">
        <v>16.32</v>
      </c>
      <c r="AU302" s="5">
        <v>7.0000000000000007E-2</v>
      </c>
      <c r="AV302" s="5">
        <v>0.11</v>
      </c>
      <c r="AW302" s="5">
        <v>10.33</v>
      </c>
      <c r="AX302" s="5">
        <v>16.95</v>
      </c>
      <c r="AY302" s="5">
        <v>0.02</v>
      </c>
      <c r="BB302" s="5">
        <v>19.3</v>
      </c>
    </row>
    <row r="303" spans="1:54" x14ac:dyDescent="0.3">
      <c r="A303" s="1" t="s">
        <v>14</v>
      </c>
      <c r="B303" s="1" t="s">
        <v>15</v>
      </c>
      <c r="C303" s="1" t="s">
        <v>16</v>
      </c>
      <c r="D303" s="5">
        <v>46</v>
      </c>
      <c r="E303" s="5">
        <v>120</v>
      </c>
      <c r="F303" s="1" t="s">
        <v>17</v>
      </c>
      <c r="G303" s="5" t="s">
        <v>373</v>
      </c>
      <c r="H303" s="5" t="s">
        <v>349</v>
      </c>
      <c r="I303" s="6">
        <v>1.0274069609295109E-5</v>
      </c>
      <c r="J303" s="3" t="s">
        <v>445</v>
      </c>
      <c r="K303" s="5">
        <v>47.17</v>
      </c>
      <c r="L303" s="5">
        <v>0.17</v>
      </c>
      <c r="M303" s="5">
        <v>10.95</v>
      </c>
      <c r="N303" s="5">
        <v>9.52</v>
      </c>
      <c r="O303" s="5">
        <v>3</v>
      </c>
      <c r="P303" s="5">
        <v>1.64</v>
      </c>
      <c r="Q303" s="5">
        <v>0</v>
      </c>
      <c r="R303" s="5">
        <v>229</v>
      </c>
      <c r="W303" s="5">
        <v>30.6</v>
      </c>
      <c r="X303" s="5">
        <v>452</v>
      </c>
      <c r="Y303" s="5">
        <v>2.4500000000000002</v>
      </c>
      <c r="Z303" s="5">
        <v>3.65</v>
      </c>
      <c r="AA303" s="5">
        <v>0.87</v>
      </c>
      <c r="AB303" s="5">
        <v>44.6</v>
      </c>
      <c r="AC303" s="5">
        <v>2.6</v>
      </c>
      <c r="AD303" s="5">
        <v>26.7</v>
      </c>
      <c r="AE303" s="5">
        <v>53.1</v>
      </c>
      <c r="AH303" s="5">
        <v>1.65</v>
      </c>
      <c r="AI303" s="5">
        <v>440</v>
      </c>
      <c r="AJ303" s="5">
        <v>21</v>
      </c>
      <c r="AK303" s="5">
        <v>164</v>
      </c>
      <c r="AL303" s="5">
        <v>4.0999999999999996</v>
      </c>
      <c r="AM303" s="5">
        <v>13604.11</v>
      </c>
      <c r="AN303" s="5">
        <v>2225.64</v>
      </c>
      <c r="AO303" s="5">
        <v>1.5757575757575759</v>
      </c>
      <c r="AP303" s="5">
        <v>7.81</v>
      </c>
      <c r="AQ303" s="5">
        <v>12.22</v>
      </c>
      <c r="AR303" s="5">
        <v>1.67</v>
      </c>
      <c r="AS303" s="5">
        <v>0.69</v>
      </c>
      <c r="AT303" s="5">
        <v>16.989999999999998</v>
      </c>
      <c r="AU303" s="5">
        <v>0.05</v>
      </c>
      <c r="AV303" s="5">
        <v>0.09</v>
      </c>
      <c r="AW303" s="5">
        <v>9.8699999999999992</v>
      </c>
      <c r="AX303" s="5">
        <v>16.48</v>
      </c>
      <c r="AY303" s="5">
        <v>0.02</v>
      </c>
      <c r="BB303" s="5">
        <v>27.03</v>
      </c>
    </row>
    <row r="304" spans="1:54" x14ac:dyDescent="0.3">
      <c r="A304" s="1" t="s">
        <v>14</v>
      </c>
      <c r="B304" s="1" t="s">
        <v>15</v>
      </c>
      <c r="C304" s="1" t="s">
        <v>16</v>
      </c>
      <c r="D304" s="5">
        <v>46</v>
      </c>
      <c r="E304" s="5">
        <v>120</v>
      </c>
      <c r="F304" s="1" t="s">
        <v>17</v>
      </c>
      <c r="G304" s="5" t="s">
        <v>374</v>
      </c>
      <c r="H304" s="5" t="s">
        <v>349</v>
      </c>
      <c r="I304" s="6">
        <v>1.273636153200641E-4</v>
      </c>
      <c r="J304" s="3" t="s">
        <v>445</v>
      </c>
      <c r="K304" s="5">
        <v>47.77</v>
      </c>
      <c r="L304" s="5">
        <v>0.16</v>
      </c>
      <c r="M304" s="5">
        <v>12.97</v>
      </c>
      <c r="N304" s="5">
        <v>8.5500000000000007</v>
      </c>
      <c r="O304" s="5">
        <v>2.78</v>
      </c>
      <c r="P304" s="5">
        <v>1.24</v>
      </c>
      <c r="Q304" s="5">
        <v>0</v>
      </c>
      <c r="R304" s="5">
        <v>213</v>
      </c>
      <c r="W304" s="5">
        <v>24.4</v>
      </c>
      <c r="X304" s="5">
        <v>394.7</v>
      </c>
      <c r="Y304" s="5">
        <v>2.46</v>
      </c>
      <c r="Z304" s="5">
        <v>2.6</v>
      </c>
      <c r="AA304" s="5">
        <v>0.63</v>
      </c>
      <c r="AB304" s="5">
        <v>35.200000000000003</v>
      </c>
      <c r="AC304" s="5">
        <v>2.11</v>
      </c>
      <c r="AD304" s="5">
        <v>21.3</v>
      </c>
      <c r="AE304" s="5">
        <v>42.8</v>
      </c>
      <c r="AH304" s="5">
        <v>1.38</v>
      </c>
      <c r="AI304" s="5">
        <v>349</v>
      </c>
      <c r="AJ304" s="5">
        <v>19.7</v>
      </c>
      <c r="AK304" s="5">
        <v>137</v>
      </c>
      <c r="AL304" s="5">
        <v>3.42</v>
      </c>
      <c r="AM304" s="5">
        <v>11746.28</v>
      </c>
      <c r="AN304" s="5">
        <v>1701.96</v>
      </c>
      <c r="AO304" s="5">
        <v>1.5289855072463769</v>
      </c>
      <c r="AP304" s="5">
        <v>6.95</v>
      </c>
      <c r="AQ304" s="5">
        <v>13.54</v>
      </c>
      <c r="AR304" s="5">
        <v>1.65</v>
      </c>
      <c r="AS304" s="5">
        <v>0.69</v>
      </c>
      <c r="AT304" s="5">
        <v>18.440000000000001</v>
      </c>
      <c r="AU304" s="5">
        <v>7.0000000000000007E-2</v>
      </c>
      <c r="AV304" s="5">
        <v>0.11</v>
      </c>
      <c r="AW304" s="5">
        <v>9.91</v>
      </c>
      <c r="AX304" s="5">
        <v>16.38</v>
      </c>
      <c r="AY304" s="5">
        <v>0.02</v>
      </c>
      <c r="BB304" s="5">
        <v>25.51</v>
      </c>
    </row>
    <row r="305" spans="1:54" x14ac:dyDescent="0.3">
      <c r="A305" s="1" t="s">
        <v>14</v>
      </c>
      <c r="B305" s="1" t="s">
        <v>15</v>
      </c>
      <c r="C305" s="1" t="s">
        <v>16</v>
      </c>
      <c r="D305" s="5">
        <v>46</v>
      </c>
      <c r="E305" s="5">
        <v>120</v>
      </c>
      <c r="F305" s="1" t="s">
        <v>17</v>
      </c>
      <c r="G305" s="5" t="s">
        <v>375</v>
      </c>
      <c r="H305" s="5" t="s">
        <v>349</v>
      </c>
      <c r="I305" s="6">
        <v>1.028788483381504E-5</v>
      </c>
      <c r="J305" s="3" t="s">
        <v>445</v>
      </c>
      <c r="K305" s="5">
        <v>47.04</v>
      </c>
      <c r="L305" s="5">
        <v>0.17</v>
      </c>
      <c r="M305" s="5">
        <v>11.19</v>
      </c>
      <c r="N305" s="5">
        <v>9.41</v>
      </c>
      <c r="O305" s="5">
        <v>3.32</v>
      </c>
      <c r="P305" s="5">
        <v>1.31</v>
      </c>
      <c r="Q305" s="5">
        <v>0</v>
      </c>
      <c r="R305" s="5">
        <v>178</v>
      </c>
      <c r="W305" s="5">
        <v>29.5</v>
      </c>
      <c r="X305" s="5">
        <v>478.8</v>
      </c>
      <c r="Y305" s="5">
        <v>2.33</v>
      </c>
      <c r="Z305" s="5">
        <v>3.99</v>
      </c>
      <c r="AA305" s="5">
        <v>0.51</v>
      </c>
      <c r="AB305" s="5">
        <v>46.8</v>
      </c>
      <c r="AC305" s="5">
        <v>2.97</v>
      </c>
      <c r="AD305" s="5">
        <v>27.1</v>
      </c>
      <c r="AE305" s="5">
        <v>52.6</v>
      </c>
      <c r="AH305" s="5">
        <v>1.65</v>
      </c>
      <c r="AI305" s="5">
        <v>439</v>
      </c>
      <c r="AJ305" s="5">
        <v>22</v>
      </c>
      <c r="AK305" s="5">
        <v>158</v>
      </c>
      <c r="AL305" s="5">
        <v>3.93</v>
      </c>
      <c r="AM305" s="5">
        <v>12645.23</v>
      </c>
      <c r="AN305" s="5">
        <v>1963.8</v>
      </c>
      <c r="AO305" s="5">
        <v>1.8000000000000003</v>
      </c>
      <c r="AP305" s="5">
        <v>7.18</v>
      </c>
      <c r="AQ305" s="5">
        <v>11.73</v>
      </c>
      <c r="AR305" s="5">
        <v>1.73</v>
      </c>
      <c r="AS305" s="5">
        <v>0.63</v>
      </c>
      <c r="AT305" s="5">
        <v>19.38</v>
      </c>
      <c r="AU305" s="5">
        <v>0.05</v>
      </c>
      <c r="AV305" s="5">
        <v>0.09</v>
      </c>
      <c r="AW305" s="5">
        <v>9.3800000000000008</v>
      </c>
      <c r="AX305" s="5">
        <v>16.2</v>
      </c>
      <c r="AY305" s="5">
        <v>0.01</v>
      </c>
      <c r="BB305" s="5">
        <v>28.36</v>
      </c>
    </row>
    <row r="306" spans="1:54" x14ac:dyDescent="0.3">
      <c r="A306" s="1" t="s">
        <v>14</v>
      </c>
      <c r="B306" s="1" t="s">
        <v>15</v>
      </c>
      <c r="C306" s="1" t="s">
        <v>16</v>
      </c>
      <c r="D306" s="5">
        <v>46</v>
      </c>
      <c r="E306" s="5">
        <v>120</v>
      </c>
      <c r="F306" s="1" t="s">
        <v>17</v>
      </c>
      <c r="G306" s="5" t="s">
        <v>376</v>
      </c>
      <c r="H306" s="5" t="s">
        <v>349</v>
      </c>
      <c r="I306" s="6">
        <v>6.5155909396708012E-6</v>
      </c>
      <c r="J306" s="3" t="s">
        <v>445</v>
      </c>
      <c r="K306" s="5">
        <v>47.58</v>
      </c>
      <c r="L306" s="5">
        <v>0.17</v>
      </c>
      <c r="M306" s="5">
        <v>12.5</v>
      </c>
      <c r="N306" s="5">
        <v>9.33</v>
      </c>
      <c r="O306" s="5">
        <v>3.14</v>
      </c>
      <c r="P306" s="5">
        <v>1.38</v>
      </c>
      <c r="Q306" s="5">
        <v>0</v>
      </c>
      <c r="R306" s="5">
        <v>219</v>
      </c>
      <c r="W306" s="5">
        <v>29.2</v>
      </c>
      <c r="X306" s="5">
        <v>437.5</v>
      </c>
      <c r="Y306" s="5">
        <v>2.35</v>
      </c>
      <c r="Z306" s="5">
        <v>3.51</v>
      </c>
      <c r="AA306" s="5">
        <v>0.79</v>
      </c>
      <c r="AB306" s="5">
        <v>42</v>
      </c>
      <c r="AC306" s="5">
        <v>2.69</v>
      </c>
      <c r="AD306" s="5">
        <v>24.6</v>
      </c>
      <c r="AE306" s="5">
        <v>47.8</v>
      </c>
      <c r="AH306" s="5">
        <v>1.64</v>
      </c>
      <c r="AI306" s="5">
        <v>382</v>
      </c>
      <c r="AJ306" s="5">
        <v>20.8</v>
      </c>
      <c r="AK306" s="5">
        <v>144</v>
      </c>
      <c r="AL306" s="5">
        <v>3.7</v>
      </c>
      <c r="AM306" s="5">
        <v>11986</v>
      </c>
      <c r="AN306" s="5">
        <v>1789.24</v>
      </c>
      <c r="AO306" s="5">
        <v>1.6402439024390245</v>
      </c>
      <c r="AP306" s="5">
        <v>6.92</v>
      </c>
      <c r="AQ306" s="5">
        <v>11.97</v>
      </c>
      <c r="AR306" s="5">
        <v>1.71</v>
      </c>
      <c r="AS306" s="5">
        <v>0.7</v>
      </c>
      <c r="AT306" s="5">
        <v>18.940000000000001</v>
      </c>
      <c r="AU306" s="5">
        <v>0.06</v>
      </c>
      <c r="AV306" s="5">
        <v>0.1</v>
      </c>
      <c r="AW306" s="5">
        <v>9.1</v>
      </c>
      <c r="AX306" s="5">
        <v>15.53</v>
      </c>
      <c r="AY306" s="5">
        <v>0.02</v>
      </c>
      <c r="BB306" s="5">
        <v>25.61</v>
      </c>
    </row>
    <row r="307" spans="1:54" x14ac:dyDescent="0.3">
      <c r="A307" s="1" t="s">
        <v>14</v>
      </c>
      <c r="B307" s="1" t="s">
        <v>15</v>
      </c>
      <c r="C307" s="1" t="s">
        <v>16</v>
      </c>
      <c r="D307" s="5">
        <v>47.443300000000001</v>
      </c>
      <c r="E307" s="5">
        <v>121.3061</v>
      </c>
      <c r="F307" s="1" t="s">
        <v>17</v>
      </c>
      <c r="G307" s="5" t="s">
        <v>377</v>
      </c>
      <c r="H307" s="5" t="s">
        <v>378</v>
      </c>
      <c r="I307" s="6">
        <v>7.5218181336822454E-6</v>
      </c>
      <c r="J307" s="3" t="s">
        <v>445</v>
      </c>
      <c r="K307" s="5">
        <v>48.16</v>
      </c>
      <c r="L307" s="5">
        <v>0.17</v>
      </c>
      <c r="M307" s="5">
        <v>9.9700000000000006</v>
      </c>
      <c r="N307" s="5">
        <v>9.59</v>
      </c>
      <c r="O307" s="5">
        <v>2.96</v>
      </c>
      <c r="P307" s="5">
        <v>1.64</v>
      </c>
      <c r="Q307" s="5">
        <v>22.3</v>
      </c>
      <c r="R307" s="5">
        <v>210</v>
      </c>
      <c r="W307" s="5">
        <v>32.5</v>
      </c>
      <c r="X307" s="5">
        <v>547</v>
      </c>
      <c r="Y307" s="5">
        <v>0</v>
      </c>
      <c r="Z307" s="5">
        <v>3.8</v>
      </c>
      <c r="AA307" s="5">
        <v>1</v>
      </c>
      <c r="AB307" s="5">
        <v>46.3</v>
      </c>
      <c r="AC307" s="5">
        <v>2.8</v>
      </c>
      <c r="AD307" s="5">
        <v>27.1</v>
      </c>
      <c r="AE307" s="5">
        <v>51.9</v>
      </c>
      <c r="AH307" s="5">
        <v>1.59</v>
      </c>
      <c r="AI307" s="5">
        <v>460</v>
      </c>
      <c r="AJ307" s="5">
        <v>21.9</v>
      </c>
      <c r="AK307" s="5">
        <v>0</v>
      </c>
      <c r="AL307" s="5">
        <v>0</v>
      </c>
      <c r="AM307" s="5">
        <v>12884.95</v>
      </c>
      <c r="AN307" s="5">
        <v>2051.08</v>
      </c>
      <c r="AO307" s="5">
        <v>1.7610062893081759</v>
      </c>
      <c r="AP307" s="5">
        <v>0</v>
      </c>
      <c r="AQ307" s="5">
        <v>12.18</v>
      </c>
      <c r="AR307" s="5">
        <v>1.71</v>
      </c>
      <c r="AS307" s="5">
        <v>0.7</v>
      </c>
      <c r="AT307" s="5">
        <v>22.6</v>
      </c>
      <c r="AU307" s="5">
        <v>0</v>
      </c>
      <c r="AV307" s="5">
        <v>0</v>
      </c>
      <c r="AW307" s="5">
        <v>9.94</v>
      </c>
      <c r="AX307" s="5">
        <v>16.97</v>
      </c>
      <c r="AY307" s="5">
        <v>0.02</v>
      </c>
      <c r="BB307" s="5">
        <v>29.12</v>
      </c>
    </row>
    <row r="308" spans="1:54" x14ac:dyDescent="0.3">
      <c r="A308" s="1" t="s">
        <v>14</v>
      </c>
      <c r="B308" s="1" t="s">
        <v>15</v>
      </c>
      <c r="C308" s="1" t="s">
        <v>16</v>
      </c>
      <c r="D308" s="5">
        <v>47.443300000000001</v>
      </c>
      <c r="E308" s="5">
        <v>121.3061</v>
      </c>
      <c r="F308" s="1" t="s">
        <v>17</v>
      </c>
      <c r="G308" s="5" t="s">
        <v>379</v>
      </c>
      <c r="H308" s="5" t="s">
        <v>378</v>
      </c>
      <c r="I308" s="6">
        <v>1.597246773599181E-5</v>
      </c>
      <c r="J308" s="3" t="s">
        <v>445</v>
      </c>
      <c r="K308" s="5">
        <v>47.97</v>
      </c>
      <c r="L308" s="5">
        <v>0.17</v>
      </c>
      <c r="M308" s="5">
        <v>9.98</v>
      </c>
      <c r="N308" s="5">
        <v>9.7100000000000009</v>
      </c>
      <c r="O308" s="5">
        <v>2.82</v>
      </c>
      <c r="P308" s="5">
        <v>1.52</v>
      </c>
      <c r="Q308" s="5">
        <v>22.8</v>
      </c>
      <c r="R308" s="5">
        <v>220</v>
      </c>
      <c r="W308" s="5">
        <v>26.2</v>
      </c>
      <c r="X308" s="5">
        <v>477</v>
      </c>
      <c r="Y308" s="5">
        <v>0</v>
      </c>
      <c r="Z308" s="5">
        <v>4.04</v>
      </c>
      <c r="AA308" s="5">
        <v>0.75</v>
      </c>
      <c r="AB308" s="5">
        <v>45.6</v>
      </c>
      <c r="AC308" s="5">
        <v>3</v>
      </c>
      <c r="AD308" s="5">
        <v>27.1</v>
      </c>
      <c r="AE308" s="5">
        <v>53.8</v>
      </c>
      <c r="AH308" s="5">
        <v>1.78</v>
      </c>
      <c r="AI308" s="5">
        <v>480</v>
      </c>
      <c r="AJ308" s="5">
        <v>23</v>
      </c>
      <c r="AK308" s="5">
        <v>0</v>
      </c>
      <c r="AL308" s="5">
        <v>0</v>
      </c>
      <c r="AM308" s="5">
        <v>13723.97</v>
      </c>
      <c r="AN308" s="5">
        <v>2007.44</v>
      </c>
      <c r="AO308" s="5">
        <v>1.6853932584269662</v>
      </c>
      <c r="AP308" s="5">
        <v>0</v>
      </c>
      <c r="AQ308" s="5">
        <v>11.29</v>
      </c>
      <c r="AR308" s="5">
        <v>1.68</v>
      </c>
      <c r="AS308" s="5">
        <v>0.56999999999999995</v>
      </c>
      <c r="AT308" s="5">
        <v>17.41</v>
      </c>
      <c r="AU308" s="5">
        <v>0</v>
      </c>
      <c r="AV308" s="5">
        <v>0</v>
      </c>
      <c r="AW308" s="5">
        <v>10.53</v>
      </c>
      <c r="AX308" s="5">
        <v>17.71</v>
      </c>
      <c r="AY308" s="5">
        <v>0.02</v>
      </c>
      <c r="BB308" s="5">
        <v>25.62</v>
      </c>
    </row>
    <row r="309" spans="1:54" x14ac:dyDescent="0.3">
      <c r="A309" s="1" t="s">
        <v>14</v>
      </c>
      <c r="B309" s="1" t="s">
        <v>15</v>
      </c>
      <c r="C309" s="1" t="s">
        <v>16</v>
      </c>
      <c r="D309" s="5">
        <v>47.443300000000001</v>
      </c>
      <c r="E309" s="5">
        <v>121.3061</v>
      </c>
      <c r="F309" s="1" t="s">
        <v>17</v>
      </c>
      <c r="G309" s="5" t="s">
        <v>380</v>
      </c>
      <c r="H309" s="5" t="s">
        <v>378</v>
      </c>
      <c r="I309" s="6">
        <v>5.1183446885261219E-6</v>
      </c>
      <c r="J309" s="3" t="s">
        <v>445</v>
      </c>
      <c r="K309" s="5">
        <v>48.7</v>
      </c>
      <c r="L309" s="5">
        <v>0.17</v>
      </c>
      <c r="M309" s="5">
        <v>9.58</v>
      </c>
      <c r="N309" s="5">
        <v>9.64</v>
      </c>
      <c r="O309" s="5">
        <v>3.06</v>
      </c>
      <c r="P309" s="5">
        <v>1.6</v>
      </c>
      <c r="Q309" s="5">
        <v>22.3</v>
      </c>
      <c r="R309" s="5">
        <v>214</v>
      </c>
      <c r="W309" s="5">
        <v>33.200000000000003</v>
      </c>
      <c r="X309" s="5">
        <v>486</v>
      </c>
      <c r="Y309" s="5">
        <v>0</v>
      </c>
      <c r="Z309" s="5">
        <v>3.69</v>
      </c>
      <c r="AA309" s="5">
        <v>0.7</v>
      </c>
      <c r="AB309" s="5">
        <v>46.4</v>
      </c>
      <c r="AC309" s="5">
        <v>2.9</v>
      </c>
      <c r="AD309" s="5">
        <v>26.2</v>
      </c>
      <c r="AE309" s="5">
        <v>51.8</v>
      </c>
      <c r="AH309" s="5">
        <v>1.67</v>
      </c>
      <c r="AI309" s="5">
        <v>480</v>
      </c>
      <c r="AJ309" s="5">
        <v>22.4</v>
      </c>
      <c r="AK309" s="5">
        <v>0</v>
      </c>
      <c r="AL309" s="5">
        <v>0</v>
      </c>
      <c r="AM309" s="5">
        <v>13124.67</v>
      </c>
      <c r="AN309" s="5">
        <v>1920.16</v>
      </c>
      <c r="AO309" s="5">
        <v>1.7365269461077844</v>
      </c>
      <c r="AP309" s="5">
        <v>0</v>
      </c>
      <c r="AQ309" s="5">
        <v>12.57</v>
      </c>
      <c r="AR309" s="5">
        <v>1.77</v>
      </c>
      <c r="AS309" s="5">
        <v>0.72</v>
      </c>
      <c r="AT309" s="5">
        <v>19.68</v>
      </c>
      <c r="AU309" s="5">
        <v>0</v>
      </c>
      <c r="AV309" s="5">
        <v>0</v>
      </c>
      <c r="AW309" s="5">
        <v>10.34</v>
      </c>
      <c r="AX309" s="5">
        <v>18.32</v>
      </c>
      <c r="AY309" s="5">
        <v>0.02</v>
      </c>
      <c r="BB309" s="5">
        <v>27.78</v>
      </c>
    </row>
    <row r="310" spans="1:54" x14ac:dyDescent="0.3">
      <c r="A310" s="1" t="s">
        <v>14</v>
      </c>
      <c r="B310" s="1" t="s">
        <v>15</v>
      </c>
      <c r="C310" s="1" t="s">
        <v>16</v>
      </c>
      <c r="D310" s="5">
        <v>47.443300000000001</v>
      </c>
      <c r="E310" s="5">
        <v>121.3061</v>
      </c>
      <c r="F310" s="1" t="s">
        <v>17</v>
      </c>
      <c r="G310" s="5" t="s">
        <v>381</v>
      </c>
      <c r="H310" s="5" t="s">
        <v>378</v>
      </c>
      <c r="I310" s="6">
        <v>1.125891958508873E-5</v>
      </c>
      <c r="J310" s="3" t="s">
        <v>445</v>
      </c>
      <c r="K310" s="5">
        <v>49.07</v>
      </c>
      <c r="L310" s="5">
        <v>0.17</v>
      </c>
      <c r="M310" s="5">
        <v>8.89</v>
      </c>
      <c r="N310" s="5">
        <v>9.59</v>
      </c>
      <c r="O310" s="5">
        <v>3.08</v>
      </c>
      <c r="P310" s="5">
        <v>1.32</v>
      </c>
      <c r="Q310" s="5">
        <v>21.5</v>
      </c>
      <c r="R310" s="5">
        <v>211</v>
      </c>
      <c r="W310" s="5">
        <v>23.3</v>
      </c>
      <c r="X310" s="5">
        <v>413</v>
      </c>
      <c r="Y310" s="5">
        <v>0</v>
      </c>
      <c r="Z310" s="5">
        <v>3.22</v>
      </c>
      <c r="AA310" s="5">
        <v>0.6</v>
      </c>
      <c r="AB310" s="5">
        <v>41.4</v>
      </c>
      <c r="AC310" s="5">
        <v>2.5</v>
      </c>
      <c r="AD310" s="5">
        <v>24.1</v>
      </c>
      <c r="AE310" s="5">
        <v>47.3</v>
      </c>
      <c r="AH310" s="5">
        <v>1.78</v>
      </c>
      <c r="AI310" s="5">
        <v>420</v>
      </c>
      <c r="AJ310" s="5">
        <v>22.7</v>
      </c>
      <c r="AK310" s="5">
        <v>0</v>
      </c>
      <c r="AL310" s="5">
        <v>0</v>
      </c>
      <c r="AM310" s="5">
        <v>12645.23</v>
      </c>
      <c r="AN310" s="5">
        <v>1701.96</v>
      </c>
      <c r="AO310" s="5">
        <v>1.4044943820224718</v>
      </c>
      <c r="AP310" s="5">
        <v>0</v>
      </c>
      <c r="AQ310" s="5">
        <v>12.86</v>
      </c>
      <c r="AR310" s="5">
        <v>1.72</v>
      </c>
      <c r="AS310" s="5">
        <v>0.56000000000000005</v>
      </c>
      <c r="AT310" s="5">
        <v>18.190000000000001</v>
      </c>
      <c r="AU310" s="5">
        <v>0</v>
      </c>
      <c r="AV310" s="5">
        <v>0</v>
      </c>
      <c r="AW310" s="5">
        <v>10.14</v>
      </c>
      <c r="AX310" s="5">
        <v>17.43</v>
      </c>
      <c r="AY310" s="5">
        <v>0.01</v>
      </c>
      <c r="BB310" s="5">
        <v>23.26</v>
      </c>
    </row>
    <row r="311" spans="1:54" x14ac:dyDescent="0.3">
      <c r="A311" s="1" t="s">
        <v>14</v>
      </c>
      <c r="B311" s="1" t="s">
        <v>15</v>
      </c>
      <c r="C311" s="1" t="s">
        <v>16</v>
      </c>
      <c r="D311" s="5">
        <v>47.443300000000001</v>
      </c>
      <c r="E311" s="5">
        <v>121.3061</v>
      </c>
      <c r="F311" s="1" t="s">
        <v>17</v>
      </c>
      <c r="G311" s="5" t="s">
        <v>382</v>
      </c>
      <c r="H311" s="5" t="s">
        <v>378</v>
      </c>
      <c r="I311" s="6">
        <v>2.5753742083907132E-3</v>
      </c>
      <c r="J311" s="3" t="s">
        <v>445</v>
      </c>
      <c r="K311" s="5">
        <v>48.31</v>
      </c>
      <c r="L311" s="5">
        <v>0.17</v>
      </c>
      <c r="M311" s="5">
        <v>9.6300000000000008</v>
      </c>
      <c r="N311" s="5">
        <v>9.48</v>
      </c>
      <c r="O311" s="5">
        <v>2.82</v>
      </c>
      <c r="P311" s="5">
        <v>1.54</v>
      </c>
      <c r="Q311" s="5">
        <v>21.1</v>
      </c>
      <c r="R311" s="5">
        <v>192</v>
      </c>
      <c r="W311" s="5">
        <v>25.1</v>
      </c>
      <c r="X311" s="5">
        <v>1030</v>
      </c>
      <c r="Y311" s="5">
        <v>0</v>
      </c>
      <c r="Z311" s="5">
        <v>3.66</v>
      </c>
      <c r="AA311" s="5">
        <v>0.9</v>
      </c>
      <c r="AB311" s="5">
        <v>40.5</v>
      </c>
      <c r="AC311" s="5">
        <v>2.7</v>
      </c>
      <c r="AD311" s="5">
        <v>26.9</v>
      </c>
      <c r="AE311" s="5">
        <v>49.3</v>
      </c>
      <c r="AH311" s="5">
        <v>1.54</v>
      </c>
      <c r="AI311" s="5">
        <v>790</v>
      </c>
      <c r="AJ311" s="5">
        <v>21.5</v>
      </c>
      <c r="AK311" s="5">
        <v>0</v>
      </c>
      <c r="AL311" s="5">
        <v>0</v>
      </c>
      <c r="AM311" s="5">
        <v>12465.44</v>
      </c>
      <c r="AN311" s="5">
        <v>2007.44</v>
      </c>
      <c r="AO311" s="5">
        <v>1.7532467532467533</v>
      </c>
      <c r="AP311" s="5">
        <v>0</v>
      </c>
      <c r="AQ311" s="5">
        <v>11.07</v>
      </c>
      <c r="AR311" s="5">
        <v>1.51</v>
      </c>
      <c r="AS311" s="5">
        <v>0.62</v>
      </c>
      <c r="AT311" s="5">
        <v>40.869999999999997</v>
      </c>
      <c r="AU311" s="5">
        <v>0</v>
      </c>
      <c r="AV311" s="5">
        <v>0</v>
      </c>
      <c r="AW311" s="5">
        <v>19.510000000000002</v>
      </c>
      <c r="AX311" s="5">
        <v>29.37</v>
      </c>
      <c r="AY311" s="5">
        <v>0.02</v>
      </c>
      <c r="BB311" s="5">
        <v>26.3</v>
      </c>
    </row>
    <row r="312" spans="1:54" x14ac:dyDescent="0.3">
      <c r="A312" s="1" t="s">
        <v>14</v>
      </c>
      <c r="B312" s="1" t="s">
        <v>15</v>
      </c>
      <c r="C312" s="1" t="s">
        <v>16</v>
      </c>
      <c r="D312" s="5">
        <v>47.443300000000001</v>
      </c>
      <c r="E312" s="5">
        <v>121.3061</v>
      </c>
      <c r="F312" s="1" t="s">
        <v>17</v>
      </c>
      <c r="G312" s="5" t="s">
        <v>383</v>
      </c>
      <c r="H312" s="5" t="s">
        <v>378</v>
      </c>
      <c r="I312" s="6">
        <v>7.5975158324581571E-6</v>
      </c>
      <c r="J312" s="3" t="s">
        <v>445</v>
      </c>
      <c r="K312" s="5">
        <v>49.14</v>
      </c>
      <c r="L312" s="5">
        <v>0.17</v>
      </c>
      <c r="M312" s="5">
        <v>9.69</v>
      </c>
      <c r="N312" s="5">
        <v>9.68</v>
      </c>
      <c r="O312" s="5">
        <v>3.08</v>
      </c>
      <c r="P312" s="5">
        <v>1.6</v>
      </c>
      <c r="Q312" s="5">
        <v>22.7</v>
      </c>
      <c r="R312" s="5">
        <v>211</v>
      </c>
      <c r="W312" s="5">
        <v>33.700000000000003</v>
      </c>
      <c r="X312" s="5">
        <v>496</v>
      </c>
      <c r="Y312" s="5">
        <v>0</v>
      </c>
      <c r="Z312" s="5">
        <v>3.69</v>
      </c>
      <c r="AA312" s="5">
        <v>0.8</v>
      </c>
      <c r="AB312" s="5">
        <v>46.5</v>
      </c>
      <c r="AC312" s="5">
        <v>2.8</v>
      </c>
      <c r="AD312" s="5">
        <v>26.4</v>
      </c>
      <c r="AE312" s="5">
        <v>50.9</v>
      </c>
      <c r="AH312" s="5">
        <v>1.69</v>
      </c>
      <c r="AI312" s="5">
        <v>450</v>
      </c>
      <c r="AJ312" s="5">
        <v>22.7</v>
      </c>
      <c r="AK312" s="5">
        <v>0</v>
      </c>
      <c r="AL312" s="5">
        <v>0</v>
      </c>
      <c r="AM312" s="5">
        <v>13064.74</v>
      </c>
      <c r="AN312" s="5">
        <v>1963.8</v>
      </c>
      <c r="AO312" s="5">
        <v>1.6568047337278107</v>
      </c>
      <c r="AP312" s="5">
        <v>0</v>
      </c>
      <c r="AQ312" s="5">
        <v>12.6</v>
      </c>
      <c r="AR312" s="5">
        <v>1.76</v>
      </c>
      <c r="AS312" s="5">
        <v>0.72</v>
      </c>
      <c r="AT312" s="5">
        <v>20.239999999999998</v>
      </c>
      <c r="AU312" s="5">
        <v>0</v>
      </c>
      <c r="AV312" s="5">
        <v>0</v>
      </c>
      <c r="AW312" s="5">
        <v>9.68</v>
      </c>
      <c r="AX312" s="5">
        <v>17.05</v>
      </c>
      <c r="AY312" s="5">
        <v>0.02</v>
      </c>
      <c r="BB312" s="5">
        <v>27.51</v>
      </c>
    </row>
    <row r="313" spans="1:54" x14ac:dyDescent="0.3">
      <c r="A313" s="1" t="s">
        <v>14</v>
      </c>
      <c r="B313" s="1" t="s">
        <v>15</v>
      </c>
      <c r="C313" s="1" t="s">
        <v>16</v>
      </c>
      <c r="D313" s="5">
        <v>47.506599999999999</v>
      </c>
      <c r="E313" s="5">
        <v>121.14319999999999</v>
      </c>
      <c r="F313" s="1" t="s">
        <v>17</v>
      </c>
      <c r="G313" s="5" t="s">
        <v>384</v>
      </c>
      <c r="H313" s="5" t="s">
        <v>378</v>
      </c>
      <c r="I313" s="6">
        <v>2.181376039516181E-4</v>
      </c>
      <c r="J313" s="3" t="s">
        <v>445</v>
      </c>
      <c r="K313" s="5">
        <v>49.31</v>
      </c>
      <c r="L313" s="5">
        <v>0.16</v>
      </c>
      <c r="M313" s="5">
        <v>10.3</v>
      </c>
      <c r="N313" s="5">
        <v>9.11</v>
      </c>
      <c r="O313" s="5">
        <v>3.06</v>
      </c>
      <c r="P313" s="5">
        <v>1.23</v>
      </c>
      <c r="Q313" s="5">
        <v>21.1</v>
      </c>
      <c r="R313" s="5">
        <v>192</v>
      </c>
      <c r="W313" s="5">
        <v>22.6</v>
      </c>
      <c r="X313" s="5">
        <v>407</v>
      </c>
      <c r="Y313" s="5">
        <v>0</v>
      </c>
      <c r="Z313" s="5">
        <v>2.37</v>
      </c>
      <c r="AA313" s="5">
        <v>0.3</v>
      </c>
      <c r="AB313" s="5">
        <v>31.4</v>
      </c>
      <c r="AC313" s="5">
        <v>1.9</v>
      </c>
      <c r="AD313" s="5">
        <v>18.899999999999999</v>
      </c>
      <c r="AE313" s="5">
        <v>37.4</v>
      </c>
      <c r="AH313" s="5">
        <v>1.51</v>
      </c>
      <c r="AI313" s="5">
        <v>320</v>
      </c>
      <c r="AJ313" s="5">
        <v>19.899999999999999</v>
      </c>
      <c r="AK313" s="5">
        <v>0</v>
      </c>
      <c r="AL313" s="5">
        <v>0</v>
      </c>
      <c r="AM313" s="5">
        <v>11266.84</v>
      </c>
      <c r="AN313" s="5">
        <v>1571.04</v>
      </c>
      <c r="AO313" s="5">
        <v>1.2582781456953642</v>
      </c>
      <c r="AP313" s="5">
        <v>0</v>
      </c>
      <c r="AQ313" s="5">
        <v>13.25</v>
      </c>
      <c r="AR313" s="5">
        <v>1.66</v>
      </c>
      <c r="AS313" s="5">
        <v>0.72</v>
      </c>
      <c r="AT313" s="5">
        <v>21.09</v>
      </c>
      <c r="AU313" s="5">
        <v>0</v>
      </c>
      <c r="AV313" s="5">
        <v>0</v>
      </c>
      <c r="AW313" s="5">
        <v>10.19</v>
      </c>
      <c r="AX313" s="5">
        <v>16.93</v>
      </c>
      <c r="AY313" s="5">
        <v>0.01</v>
      </c>
      <c r="BB313" s="5">
        <v>20.79</v>
      </c>
    </row>
    <row r="314" spans="1:54" x14ac:dyDescent="0.3">
      <c r="A314" s="1" t="s">
        <v>14</v>
      </c>
      <c r="B314" s="1" t="s">
        <v>15</v>
      </c>
      <c r="C314" s="1" t="s">
        <v>16</v>
      </c>
      <c r="D314" s="5">
        <v>47.506599999999999</v>
      </c>
      <c r="E314" s="5">
        <v>121.14319999999999</v>
      </c>
      <c r="F314" s="1" t="s">
        <v>17</v>
      </c>
      <c r="G314" s="5" t="s">
        <v>385</v>
      </c>
      <c r="H314" s="5" t="s">
        <v>378</v>
      </c>
      <c r="I314" s="6">
        <v>7.0546237111557275E-5</v>
      </c>
      <c r="J314" s="3" t="s">
        <v>445</v>
      </c>
      <c r="K314" s="5">
        <v>48.18</v>
      </c>
      <c r="L314" s="5">
        <v>0.17</v>
      </c>
      <c r="M314" s="5">
        <v>12</v>
      </c>
      <c r="N314" s="5">
        <v>8.7899999999999991</v>
      </c>
      <c r="O314" s="5">
        <v>2.88</v>
      </c>
      <c r="P314" s="5">
        <v>1.3</v>
      </c>
      <c r="Q314" s="5">
        <v>19.8</v>
      </c>
      <c r="R314" s="5">
        <v>197</v>
      </c>
      <c r="W314" s="5">
        <v>26.1</v>
      </c>
      <c r="X314" s="5">
        <v>428</v>
      </c>
      <c r="Y314" s="5">
        <v>0</v>
      </c>
      <c r="Z314" s="5">
        <v>2.5499999999999998</v>
      </c>
      <c r="AA314" s="5">
        <v>0.6</v>
      </c>
      <c r="AB314" s="5">
        <v>32.5</v>
      </c>
      <c r="AC314" s="5">
        <v>2.1</v>
      </c>
      <c r="AD314" s="5">
        <v>20.100000000000001</v>
      </c>
      <c r="AE314" s="5">
        <v>40.5</v>
      </c>
      <c r="AH314" s="5">
        <v>1.53</v>
      </c>
      <c r="AI314" s="5">
        <v>401</v>
      </c>
      <c r="AJ314" s="5">
        <v>20</v>
      </c>
      <c r="AK314" s="5">
        <v>0</v>
      </c>
      <c r="AL314" s="5">
        <v>0</v>
      </c>
      <c r="AM314" s="5">
        <v>11446.63</v>
      </c>
      <c r="AN314" s="5">
        <v>1701.96</v>
      </c>
      <c r="AO314" s="5">
        <v>1.3725490196078431</v>
      </c>
      <c r="AP314" s="5">
        <v>0</v>
      </c>
      <c r="AQ314" s="5">
        <v>12.75</v>
      </c>
      <c r="AR314" s="5">
        <v>1.62</v>
      </c>
      <c r="AS314" s="5">
        <v>0.8</v>
      </c>
      <c r="AT314" s="5">
        <v>21.08</v>
      </c>
      <c r="AU314" s="5">
        <v>0</v>
      </c>
      <c r="AV314" s="5">
        <v>0</v>
      </c>
      <c r="AW314" s="5">
        <v>12.34</v>
      </c>
      <c r="AX314" s="5">
        <v>19.95</v>
      </c>
      <c r="AY314" s="5">
        <v>0.02</v>
      </c>
      <c r="BB314" s="5">
        <v>21.24</v>
      </c>
    </row>
    <row r="315" spans="1:54" x14ac:dyDescent="0.3">
      <c r="A315" s="1" t="s">
        <v>14</v>
      </c>
      <c r="B315" s="1" t="s">
        <v>15</v>
      </c>
      <c r="C315" s="1" t="s">
        <v>16</v>
      </c>
      <c r="D315" s="5">
        <v>47.506599999999999</v>
      </c>
      <c r="E315" s="5">
        <v>121.14319999999999</v>
      </c>
      <c r="F315" s="1" t="s">
        <v>17</v>
      </c>
      <c r="G315" s="5" t="s">
        <v>386</v>
      </c>
      <c r="H315" s="5" t="s">
        <v>378</v>
      </c>
      <c r="I315" s="6">
        <v>8.3605751569848508E-5</v>
      </c>
      <c r="J315" s="3" t="s">
        <v>445</v>
      </c>
      <c r="K315" s="5">
        <v>49.1</v>
      </c>
      <c r="L315" s="5">
        <v>0.17</v>
      </c>
      <c r="M315" s="5">
        <v>11.15</v>
      </c>
      <c r="N315" s="5">
        <v>9.32</v>
      </c>
      <c r="O315" s="5">
        <v>2.95</v>
      </c>
      <c r="P315" s="5">
        <v>1.18</v>
      </c>
      <c r="Q315" s="5">
        <v>21.4</v>
      </c>
      <c r="R315" s="5">
        <v>201</v>
      </c>
      <c r="W315" s="5">
        <v>23.7</v>
      </c>
      <c r="X315" s="5">
        <v>410</v>
      </c>
      <c r="Y315" s="5">
        <v>0</v>
      </c>
      <c r="Z315" s="5">
        <v>2.4</v>
      </c>
      <c r="AA315" s="5">
        <v>0.5</v>
      </c>
      <c r="AB315" s="5">
        <v>33.6</v>
      </c>
      <c r="AC315" s="5">
        <v>2</v>
      </c>
      <c r="AD315" s="5">
        <v>19.5</v>
      </c>
      <c r="AE315" s="5">
        <v>38.700000000000003</v>
      </c>
      <c r="AH315" s="5">
        <v>1.52</v>
      </c>
      <c r="AI315" s="5">
        <v>340</v>
      </c>
      <c r="AJ315" s="5">
        <v>20.7</v>
      </c>
      <c r="AK315" s="5">
        <v>0</v>
      </c>
      <c r="AL315" s="5">
        <v>0</v>
      </c>
      <c r="AM315" s="5">
        <v>11266.84</v>
      </c>
      <c r="AN315" s="5">
        <v>1571.04</v>
      </c>
      <c r="AO315" s="5">
        <v>1.3157894736842106</v>
      </c>
      <c r="AP315" s="5">
        <v>0</v>
      </c>
      <c r="AQ315" s="5">
        <v>14</v>
      </c>
      <c r="AR315" s="5">
        <v>1.72</v>
      </c>
      <c r="AS315" s="5">
        <v>0.71</v>
      </c>
      <c r="AT315" s="5">
        <v>20.71</v>
      </c>
      <c r="AU315" s="5">
        <v>0</v>
      </c>
      <c r="AV315" s="5">
        <v>0</v>
      </c>
      <c r="AW315" s="5">
        <v>10.119999999999999</v>
      </c>
      <c r="AX315" s="5">
        <v>17.440000000000001</v>
      </c>
      <c r="AY315" s="5">
        <v>0.01</v>
      </c>
      <c r="BB315" s="5">
        <v>22.11</v>
      </c>
    </row>
    <row r="316" spans="1:54" x14ac:dyDescent="0.3">
      <c r="A316" s="1" t="s">
        <v>14</v>
      </c>
      <c r="B316" s="1" t="s">
        <v>15</v>
      </c>
      <c r="C316" s="1" t="s">
        <v>16</v>
      </c>
      <c r="D316" s="5">
        <v>47.506599999999999</v>
      </c>
      <c r="E316" s="5">
        <v>121.14319999999999</v>
      </c>
      <c r="F316" s="1" t="s">
        <v>17</v>
      </c>
      <c r="G316" s="5" t="s">
        <v>387</v>
      </c>
      <c r="H316" s="5" t="s">
        <v>378</v>
      </c>
      <c r="I316" s="6">
        <v>1.105154442484491E-4</v>
      </c>
      <c r="J316" s="3" t="s">
        <v>445</v>
      </c>
      <c r="K316" s="5">
        <v>49.35</v>
      </c>
      <c r="L316" s="5">
        <v>0.16</v>
      </c>
      <c r="M316" s="5">
        <v>10.45</v>
      </c>
      <c r="N316" s="5">
        <v>9.18</v>
      </c>
      <c r="O316" s="5">
        <v>3.08</v>
      </c>
      <c r="P316" s="5">
        <v>1.22</v>
      </c>
      <c r="Q316" s="5">
        <v>21.3</v>
      </c>
      <c r="R316" s="5">
        <v>196</v>
      </c>
      <c r="W316" s="5">
        <v>23.7</v>
      </c>
      <c r="X316" s="5">
        <v>403</v>
      </c>
      <c r="Y316" s="5">
        <v>0</v>
      </c>
      <c r="Z316" s="5">
        <v>2.34</v>
      </c>
      <c r="AA316" s="5">
        <v>0.5</v>
      </c>
      <c r="AB316" s="5">
        <v>32.700000000000003</v>
      </c>
      <c r="AC316" s="5">
        <v>1.8</v>
      </c>
      <c r="AD316" s="5">
        <v>18.899999999999999</v>
      </c>
      <c r="AE316" s="5">
        <v>38</v>
      </c>
      <c r="AH316" s="5">
        <v>1.5</v>
      </c>
      <c r="AI316" s="5">
        <v>330</v>
      </c>
      <c r="AJ316" s="5">
        <v>20.2</v>
      </c>
      <c r="AK316" s="5">
        <v>0</v>
      </c>
      <c r="AL316" s="5">
        <v>0</v>
      </c>
      <c r="AM316" s="5">
        <v>11386.7</v>
      </c>
      <c r="AN316" s="5">
        <v>1571.04</v>
      </c>
      <c r="AO316" s="5">
        <v>1.2</v>
      </c>
      <c r="AP316" s="5">
        <v>0</v>
      </c>
      <c r="AQ316" s="5">
        <v>13.97</v>
      </c>
      <c r="AR316" s="5">
        <v>1.73</v>
      </c>
      <c r="AS316" s="5">
        <v>0.72</v>
      </c>
      <c r="AT316" s="5">
        <v>20.25</v>
      </c>
      <c r="AU316" s="5">
        <v>0</v>
      </c>
      <c r="AV316" s="5">
        <v>0</v>
      </c>
      <c r="AW316" s="5">
        <v>10.09</v>
      </c>
      <c r="AX316" s="5">
        <v>17.46</v>
      </c>
      <c r="AY316" s="5">
        <v>0.02</v>
      </c>
      <c r="BB316" s="5">
        <v>21.8</v>
      </c>
    </row>
    <row r="317" spans="1:54" x14ac:dyDescent="0.3">
      <c r="A317" s="1" t="s">
        <v>14</v>
      </c>
      <c r="B317" s="1" t="s">
        <v>15</v>
      </c>
      <c r="C317" s="1" t="s">
        <v>16</v>
      </c>
      <c r="D317" s="5">
        <v>47.506599999999999</v>
      </c>
      <c r="E317" s="5">
        <v>121.14319999999999</v>
      </c>
      <c r="F317" s="1" t="s">
        <v>17</v>
      </c>
      <c r="G317" s="5" t="s">
        <v>388</v>
      </c>
      <c r="H317" s="5" t="s">
        <v>378</v>
      </c>
      <c r="I317" s="6">
        <v>2.677106749615632E-5</v>
      </c>
      <c r="J317" s="3" t="s">
        <v>445</v>
      </c>
      <c r="K317" s="5">
        <v>47.63</v>
      </c>
      <c r="L317" s="5">
        <v>0.17</v>
      </c>
      <c r="M317" s="5">
        <v>11.55</v>
      </c>
      <c r="N317" s="5">
        <v>9.34</v>
      </c>
      <c r="O317" s="5">
        <v>2.91</v>
      </c>
      <c r="P317" s="5">
        <v>1.51</v>
      </c>
      <c r="Q317" s="5">
        <v>21.9</v>
      </c>
      <c r="R317" s="5">
        <v>201</v>
      </c>
      <c r="W317" s="5">
        <v>32.1</v>
      </c>
      <c r="X317" s="5">
        <v>508</v>
      </c>
      <c r="Y317" s="5">
        <v>0</v>
      </c>
      <c r="Z317" s="5">
        <v>3.35</v>
      </c>
      <c r="AA317" s="5">
        <v>0.9</v>
      </c>
      <c r="AB317" s="5">
        <v>43.8</v>
      </c>
      <c r="AC317" s="5">
        <v>2.4</v>
      </c>
      <c r="AD317" s="5">
        <v>24.8</v>
      </c>
      <c r="AE317" s="5">
        <v>49.4</v>
      </c>
      <c r="AH317" s="5">
        <v>1.48</v>
      </c>
      <c r="AI317" s="5">
        <v>427</v>
      </c>
      <c r="AJ317" s="5">
        <v>21.8</v>
      </c>
      <c r="AK317" s="5">
        <v>0</v>
      </c>
      <c r="AL317" s="5">
        <v>0</v>
      </c>
      <c r="AM317" s="5">
        <v>12585.3</v>
      </c>
      <c r="AN317" s="5">
        <v>2007.44</v>
      </c>
      <c r="AO317" s="5">
        <v>1.6216216216216215</v>
      </c>
      <c r="AP317" s="5">
        <v>0</v>
      </c>
      <c r="AQ317" s="5">
        <v>13.07</v>
      </c>
      <c r="AR317" s="5">
        <v>1.77</v>
      </c>
      <c r="AS317" s="5">
        <v>0.73</v>
      </c>
      <c r="AT317" s="5">
        <v>20.91</v>
      </c>
      <c r="AU317" s="5">
        <v>0</v>
      </c>
      <c r="AV317" s="5">
        <v>0</v>
      </c>
      <c r="AW317" s="5">
        <v>9.75</v>
      </c>
      <c r="AX317" s="5">
        <v>17.22</v>
      </c>
      <c r="AY317" s="5">
        <v>0.02</v>
      </c>
      <c r="BB317" s="5">
        <v>29.59</v>
      </c>
    </row>
    <row r="318" spans="1:54" x14ac:dyDescent="0.3">
      <c r="A318" s="1" t="s">
        <v>14</v>
      </c>
      <c r="B318" s="1" t="s">
        <v>15</v>
      </c>
      <c r="C318" s="1" t="s">
        <v>16</v>
      </c>
      <c r="D318" s="5">
        <v>47.508800000000001</v>
      </c>
      <c r="E318" s="5">
        <v>120.8669</v>
      </c>
      <c r="F318" s="1" t="s">
        <v>17</v>
      </c>
      <c r="G318" s="5" t="s">
        <v>389</v>
      </c>
      <c r="H318" s="5" t="s">
        <v>378</v>
      </c>
      <c r="I318" s="6">
        <v>1.0841674338735169E-5</v>
      </c>
      <c r="J318" s="3" t="s">
        <v>445</v>
      </c>
      <c r="K318" s="5">
        <v>48.39</v>
      </c>
      <c r="L318" s="5">
        <v>0.17</v>
      </c>
      <c r="M318" s="5">
        <v>10.199999999999999</v>
      </c>
      <c r="N318" s="5">
        <v>9.5</v>
      </c>
      <c r="O318" s="5">
        <v>3.25</v>
      </c>
      <c r="P318" s="5">
        <v>1.45</v>
      </c>
      <c r="Q318" s="5">
        <v>23.2</v>
      </c>
      <c r="R318" s="5">
        <v>195</v>
      </c>
      <c r="W318" s="5">
        <v>26.1</v>
      </c>
      <c r="X318" s="5">
        <v>503</v>
      </c>
      <c r="Y318" s="5">
        <v>0</v>
      </c>
      <c r="Z318" s="5">
        <v>3.3</v>
      </c>
      <c r="AA318" s="5">
        <v>0.9</v>
      </c>
      <c r="AB318" s="5">
        <v>41.8</v>
      </c>
      <c r="AC318" s="5">
        <v>2.4</v>
      </c>
      <c r="AD318" s="5">
        <v>24.7</v>
      </c>
      <c r="AE318" s="5">
        <v>48.5</v>
      </c>
      <c r="AH318" s="5">
        <v>1.61</v>
      </c>
      <c r="AI318" s="5">
        <v>400</v>
      </c>
      <c r="AJ318" s="5">
        <v>21.4</v>
      </c>
      <c r="AK318" s="5">
        <v>0</v>
      </c>
      <c r="AL318" s="5">
        <v>0</v>
      </c>
      <c r="AM318" s="5">
        <v>12645.23</v>
      </c>
      <c r="AN318" s="5">
        <v>1963.8</v>
      </c>
      <c r="AO318" s="5">
        <v>1.4906832298136645</v>
      </c>
      <c r="AP318" s="5">
        <v>0</v>
      </c>
      <c r="AQ318" s="5">
        <v>12.67</v>
      </c>
      <c r="AR318" s="5">
        <v>1.69</v>
      </c>
      <c r="AS318" s="5">
        <v>0.62</v>
      </c>
      <c r="AT318" s="5">
        <v>21.31</v>
      </c>
      <c r="AU318" s="5">
        <v>0</v>
      </c>
      <c r="AV318" s="5">
        <v>0</v>
      </c>
      <c r="AW318" s="5">
        <v>9.57</v>
      </c>
      <c r="AX318" s="5">
        <v>16.190000000000001</v>
      </c>
      <c r="AY318" s="5">
        <v>0.02</v>
      </c>
      <c r="BB318" s="5">
        <v>25.96</v>
      </c>
    </row>
    <row r="319" spans="1:54" x14ac:dyDescent="0.3">
      <c r="A319" s="1" t="s">
        <v>14</v>
      </c>
      <c r="B319" s="1" t="s">
        <v>15</v>
      </c>
      <c r="C319" s="1" t="s">
        <v>16</v>
      </c>
      <c r="D319" s="5">
        <v>47.508800000000001</v>
      </c>
      <c r="E319" s="5">
        <v>120.8669</v>
      </c>
      <c r="F319" s="1" t="s">
        <v>17</v>
      </c>
      <c r="G319" s="5" t="s">
        <v>390</v>
      </c>
      <c r="H319" s="5" t="s">
        <v>378</v>
      </c>
      <c r="I319" s="6">
        <v>1.422865716449451E-5</v>
      </c>
      <c r="J319" s="3" t="s">
        <v>445</v>
      </c>
      <c r="K319" s="5">
        <v>48.33</v>
      </c>
      <c r="L319" s="5">
        <v>0.17</v>
      </c>
      <c r="M319" s="5">
        <v>10.050000000000001</v>
      </c>
      <c r="N319" s="5">
        <v>9.5299999999999994</v>
      </c>
      <c r="O319" s="5">
        <v>3.25</v>
      </c>
      <c r="P319" s="5">
        <v>1.46</v>
      </c>
      <c r="Q319" s="5">
        <v>20.9</v>
      </c>
      <c r="R319" s="5">
        <v>232</v>
      </c>
      <c r="W319" s="5">
        <v>25.7</v>
      </c>
      <c r="X319" s="5">
        <v>491</v>
      </c>
      <c r="Y319" s="5">
        <v>0</v>
      </c>
      <c r="Z319" s="5">
        <v>3.23</v>
      </c>
      <c r="AA319" s="5">
        <v>0.9</v>
      </c>
      <c r="AB319" s="5">
        <v>42.8</v>
      </c>
      <c r="AC319" s="5">
        <v>2.1</v>
      </c>
      <c r="AD319" s="5">
        <v>24.7</v>
      </c>
      <c r="AE319" s="5">
        <v>49.2</v>
      </c>
      <c r="AH319" s="5">
        <v>1.63</v>
      </c>
      <c r="AI319" s="5">
        <v>390</v>
      </c>
      <c r="AJ319" s="5">
        <v>21.6</v>
      </c>
      <c r="AK319" s="5">
        <v>0</v>
      </c>
      <c r="AL319" s="5">
        <v>0</v>
      </c>
      <c r="AM319" s="5">
        <v>12645.23</v>
      </c>
      <c r="AN319" s="5">
        <v>1920.16</v>
      </c>
      <c r="AO319" s="5">
        <v>1.2883435582822087</v>
      </c>
      <c r="AP319" s="5">
        <v>0</v>
      </c>
      <c r="AQ319" s="5">
        <v>13.25</v>
      </c>
      <c r="AR319" s="5">
        <v>1.73</v>
      </c>
      <c r="AS319" s="5">
        <v>0.6</v>
      </c>
      <c r="AT319" s="5">
        <v>21.16</v>
      </c>
      <c r="AU319" s="5">
        <v>0</v>
      </c>
      <c r="AV319" s="5">
        <v>0</v>
      </c>
      <c r="AW319" s="5">
        <v>9.11</v>
      </c>
      <c r="AX319" s="5">
        <v>15.79</v>
      </c>
      <c r="AY319" s="5">
        <v>0.02</v>
      </c>
      <c r="BB319" s="5">
        <v>26.26</v>
      </c>
    </row>
    <row r="320" spans="1:54" x14ac:dyDescent="0.3">
      <c r="A320" s="1" t="s">
        <v>14</v>
      </c>
      <c r="B320" s="1" t="s">
        <v>15</v>
      </c>
      <c r="C320" s="1" t="s">
        <v>16</v>
      </c>
      <c r="D320" s="5">
        <v>47.456899999999997</v>
      </c>
      <c r="E320" s="5">
        <v>120.64700000000001</v>
      </c>
      <c r="F320" s="1" t="s">
        <v>17</v>
      </c>
      <c r="G320" s="5" t="s">
        <v>391</v>
      </c>
      <c r="H320" s="5" t="s">
        <v>378</v>
      </c>
      <c r="I320" s="6">
        <v>2.0055218192283059E-4</v>
      </c>
      <c r="J320" s="3" t="s">
        <v>445</v>
      </c>
      <c r="K320" s="5">
        <v>48.06</v>
      </c>
      <c r="L320" s="5">
        <v>0.17</v>
      </c>
      <c r="M320" s="5">
        <v>8.75</v>
      </c>
      <c r="N320" s="5">
        <v>8.51</v>
      </c>
      <c r="O320" s="5">
        <v>3.86</v>
      </c>
      <c r="P320" s="5">
        <v>2.38</v>
      </c>
      <c r="Q320" s="5">
        <v>16.3</v>
      </c>
      <c r="R320" s="5">
        <v>189</v>
      </c>
      <c r="W320" s="5">
        <v>47.5</v>
      </c>
      <c r="X320" s="5">
        <v>699</v>
      </c>
      <c r="Y320" s="5">
        <v>0</v>
      </c>
      <c r="Z320" s="5">
        <v>5.8</v>
      </c>
      <c r="AA320" s="5">
        <v>1.7</v>
      </c>
      <c r="AB320" s="5">
        <v>64.5</v>
      </c>
      <c r="AC320" s="5">
        <v>4.4000000000000004</v>
      </c>
      <c r="AD320" s="5">
        <v>38.4</v>
      </c>
      <c r="AE320" s="5">
        <v>78.599999999999994</v>
      </c>
      <c r="AH320" s="5">
        <v>1.53</v>
      </c>
      <c r="AI320" s="5">
        <v>520</v>
      </c>
      <c r="AJ320" s="5">
        <v>26.5</v>
      </c>
      <c r="AK320" s="5">
        <v>0</v>
      </c>
      <c r="AL320" s="5">
        <v>0</v>
      </c>
      <c r="AM320" s="5">
        <v>14203.41</v>
      </c>
      <c r="AN320" s="5">
        <v>2662.04</v>
      </c>
      <c r="AO320" s="5">
        <v>2.8758169934640523</v>
      </c>
      <c r="AP320" s="5">
        <v>0</v>
      </c>
      <c r="AQ320" s="5">
        <v>11.12</v>
      </c>
      <c r="AR320" s="5">
        <v>1.68</v>
      </c>
      <c r="AS320" s="5">
        <v>0.74</v>
      </c>
      <c r="AT320" s="5">
        <v>19.63</v>
      </c>
      <c r="AU320" s="5">
        <v>0</v>
      </c>
      <c r="AV320" s="5">
        <v>0</v>
      </c>
      <c r="AW320" s="5">
        <v>8.06</v>
      </c>
      <c r="AX320" s="5">
        <v>13.54</v>
      </c>
      <c r="AY320" s="5">
        <v>0.03</v>
      </c>
      <c r="BB320" s="5">
        <v>42.16</v>
      </c>
    </row>
    <row r="321" spans="1:54" x14ac:dyDescent="0.3">
      <c r="A321" s="1" t="s">
        <v>14</v>
      </c>
      <c r="B321" s="1" t="s">
        <v>15</v>
      </c>
      <c r="C321" s="1" t="s">
        <v>16</v>
      </c>
      <c r="D321" s="5">
        <v>47.456899999999997</v>
      </c>
      <c r="E321" s="5">
        <v>120.64700000000001</v>
      </c>
      <c r="F321" s="1" t="s">
        <v>17</v>
      </c>
      <c r="G321" s="5" t="s">
        <v>392</v>
      </c>
      <c r="H321" s="5" t="s">
        <v>378</v>
      </c>
      <c r="I321" s="6">
        <v>1.430621250619879E-5</v>
      </c>
      <c r="J321" s="3" t="s">
        <v>445</v>
      </c>
      <c r="K321" s="5">
        <v>49.19</v>
      </c>
      <c r="L321" s="5">
        <v>0.16</v>
      </c>
      <c r="M321" s="5">
        <v>8.8000000000000007</v>
      </c>
      <c r="N321" s="5">
        <v>7.84</v>
      </c>
      <c r="O321" s="5">
        <v>3.73</v>
      </c>
      <c r="P321" s="5">
        <v>2.6</v>
      </c>
      <c r="Q321" s="5">
        <v>13.1</v>
      </c>
      <c r="R321" s="5">
        <v>159</v>
      </c>
      <c r="W321" s="5">
        <v>56.4</v>
      </c>
      <c r="X321" s="5">
        <v>777</v>
      </c>
      <c r="Y321" s="5">
        <v>0</v>
      </c>
      <c r="Z321" s="5">
        <v>7</v>
      </c>
      <c r="AA321" s="5">
        <v>1.6</v>
      </c>
      <c r="AB321" s="5">
        <v>74.599999999999994</v>
      </c>
      <c r="AC321" s="5">
        <v>4.5</v>
      </c>
      <c r="AD321" s="5">
        <v>43.7</v>
      </c>
      <c r="AE321" s="5">
        <v>86.7</v>
      </c>
      <c r="AH321" s="5">
        <v>1.58</v>
      </c>
      <c r="AI321" s="5">
        <v>620</v>
      </c>
      <c r="AJ321" s="5">
        <v>25.5</v>
      </c>
      <c r="AK321" s="5">
        <v>0</v>
      </c>
      <c r="AL321" s="5">
        <v>0</v>
      </c>
      <c r="AM321" s="5">
        <v>14143.48</v>
      </c>
      <c r="AN321" s="5">
        <v>2836.6</v>
      </c>
      <c r="AO321" s="5">
        <v>2.8481012658227849</v>
      </c>
      <c r="AP321" s="5">
        <v>0</v>
      </c>
      <c r="AQ321" s="5">
        <v>10.66</v>
      </c>
      <c r="AR321" s="5">
        <v>1.71</v>
      </c>
      <c r="AS321" s="5">
        <v>0.76</v>
      </c>
      <c r="AT321" s="5">
        <v>19.77</v>
      </c>
      <c r="AU321" s="5">
        <v>0</v>
      </c>
      <c r="AV321" s="5">
        <v>0</v>
      </c>
      <c r="AW321" s="5">
        <v>8.31</v>
      </c>
      <c r="AX321" s="5">
        <v>14.19</v>
      </c>
      <c r="AY321" s="5">
        <v>0.02</v>
      </c>
      <c r="BB321" s="5">
        <v>47.22</v>
      </c>
    </row>
    <row r="322" spans="1:54" x14ac:dyDescent="0.3">
      <c r="A322" s="1" t="s">
        <v>14</v>
      </c>
      <c r="B322" s="1" t="s">
        <v>15</v>
      </c>
      <c r="C322" s="1" t="s">
        <v>16</v>
      </c>
      <c r="D322" s="5">
        <v>47.456899999999997</v>
      </c>
      <c r="E322" s="5">
        <v>120.64700000000001</v>
      </c>
      <c r="F322" s="1" t="s">
        <v>17</v>
      </c>
      <c r="G322" s="5" t="s">
        <v>393</v>
      </c>
      <c r="H322" s="5" t="s">
        <v>378</v>
      </c>
      <c r="I322" s="6">
        <v>5.722485002479516E-5</v>
      </c>
      <c r="J322" s="3" t="s">
        <v>445</v>
      </c>
      <c r="K322" s="5">
        <v>48.7</v>
      </c>
      <c r="L322" s="5">
        <v>0.17</v>
      </c>
      <c r="M322" s="5">
        <v>7.11</v>
      </c>
      <c r="N322" s="5">
        <v>8.1</v>
      </c>
      <c r="O322" s="5">
        <v>3.95</v>
      </c>
      <c r="P322" s="5">
        <v>2.84</v>
      </c>
      <c r="Q322" s="5">
        <v>13</v>
      </c>
      <c r="R322" s="5">
        <v>159</v>
      </c>
      <c r="W322" s="5">
        <v>61</v>
      </c>
      <c r="X322" s="5">
        <v>816</v>
      </c>
      <c r="Y322" s="5">
        <v>0</v>
      </c>
      <c r="Z322" s="5">
        <v>6.94</v>
      </c>
      <c r="AA322" s="5">
        <v>1.9</v>
      </c>
      <c r="AB322" s="5">
        <v>70.400000000000006</v>
      </c>
      <c r="AC322" s="5">
        <v>5.2</v>
      </c>
      <c r="AD322" s="5">
        <v>46</v>
      </c>
      <c r="AE322" s="5">
        <v>94.6</v>
      </c>
      <c r="AH322" s="5">
        <v>1.57</v>
      </c>
      <c r="AI322" s="5">
        <v>650</v>
      </c>
      <c r="AJ322" s="5">
        <v>26.1</v>
      </c>
      <c r="AK322" s="5">
        <v>0</v>
      </c>
      <c r="AL322" s="5">
        <v>0</v>
      </c>
      <c r="AM322" s="5">
        <v>14503.06</v>
      </c>
      <c r="AN322" s="5">
        <v>3273</v>
      </c>
      <c r="AO322" s="5">
        <v>3.3121019108280256</v>
      </c>
      <c r="AP322" s="5">
        <v>0</v>
      </c>
      <c r="AQ322" s="5">
        <v>10.14</v>
      </c>
      <c r="AR322" s="5">
        <v>1.53</v>
      </c>
      <c r="AS322" s="5">
        <v>0.87</v>
      </c>
      <c r="AT322" s="5">
        <v>17.93</v>
      </c>
      <c r="AU322" s="5">
        <v>0</v>
      </c>
      <c r="AV322" s="5">
        <v>0</v>
      </c>
      <c r="AW322" s="5">
        <v>9.23</v>
      </c>
      <c r="AX322" s="5">
        <v>14.13</v>
      </c>
      <c r="AY322" s="5">
        <v>0.03</v>
      </c>
      <c r="BB322" s="5">
        <v>44.84</v>
      </c>
    </row>
    <row r="323" spans="1:54" x14ac:dyDescent="0.3">
      <c r="A323" s="1" t="s">
        <v>14</v>
      </c>
      <c r="B323" s="1" t="s">
        <v>15</v>
      </c>
      <c r="C323" s="1" t="s">
        <v>16</v>
      </c>
      <c r="D323" s="5">
        <v>47.456899999999997</v>
      </c>
      <c r="E323" s="5">
        <v>120.64700000000001</v>
      </c>
      <c r="F323" s="1" t="s">
        <v>17</v>
      </c>
      <c r="G323" s="5" t="s">
        <v>394</v>
      </c>
      <c r="H323" s="5" t="s">
        <v>378</v>
      </c>
      <c r="I323" s="6">
        <v>3.6898280086461448E-5</v>
      </c>
      <c r="J323" s="3" t="s">
        <v>445</v>
      </c>
      <c r="K323" s="5">
        <v>48.77</v>
      </c>
      <c r="L323" s="5">
        <v>0.17</v>
      </c>
      <c r="M323" s="5">
        <v>7.39</v>
      </c>
      <c r="N323" s="5">
        <v>8.09</v>
      </c>
      <c r="O323" s="5">
        <v>3.85</v>
      </c>
      <c r="P323" s="5">
        <v>2.82</v>
      </c>
      <c r="Q323" s="5">
        <v>12.5</v>
      </c>
      <c r="R323" s="5">
        <v>158</v>
      </c>
      <c r="W323" s="5">
        <v>58</v>
      </c>
      <c r="X323" s="5">
        <v>802</v>
      </c>
      <c r="Y323" s="5">
        <v>0</v>
      </c>
      <c r="Z323" s="5">
        <v>6.63</v>
      </c>
      <c r="AA323" s="5">
        <v>1.8</v>
      </c>
      <c r="AB323" s="5">
        <v>73.599999999999994</v>
      </c>
      <c r="AC323" s="5">
        <v>4.9000000000000004</v>
      </c>
      <c r="AD323" s="5">
        <v>48.5</v>
      </c>
      <c r="AE323" s="5">
        <v>102</v>
      </c>
      <c r="AH323" s="5">
        <v>1.59</v>
      </c>
      <c r="AI323" s="5">
        <v>640</v>
      </c>
      <c r="AJ323" s="5">
        <v>27.6</v>
      </c>
      <c r="AK323" s="5">
        <v>0</v>
      </c>
      <c r="AL323" s="5">
        <v>0</v>
      </c>
      <c r="AM323" s="5">
        <v>14383.2</v>
      </c>
      <c r="AN323" s="5">
        <v>3229.36</v>
      </c>
      <c r="AO323" s="5">
        <v>3.0817610062893084</v>
      </c>
      <c r="AP323" s="5">
        <v>0</v>
      </c>
      <c r="AQ323" s="5">
        <v>11.1</v>
      </c>
      <c r="AR323" s="5">
        <v>1.52</v>
      </c>
      <c r="AS323" s="5">
        <v>0.79</v>
      </c>
      <c r="AT323" s="5">
        <v>18.190000000000001</v>
      </c>
      <c r="AU323" s="5">
        <v>0</v>
      </c>
      <c r="AV323" s="5">
        <v>0</v>
      </c>
      <c r="AW323" s="5">
        <v>8.6999999999999993</v>
      </c>
      <c r="AX323" s="5">
        <v>13.2</v>
      </c>
      <c r="AY323" s="5">
        <v>0.02</v>
      </c>
      <c r="BB323" s="5">
        <v>46.29</v>
      </c>
    </row>
    <row r="324" spans="1:54" x14ac:dyDescent="0.3">
      <c r="A324" s="1" t="s">
        <v>14</v>
      </c>
      <c r="B324" s="1" t="s">
        <v>15</v>
      </c>
      <c r="C324" s="1" t="s">
        <v>16</v>
      </c>
      <c r="D324" s="5">
        <v>47.456899999999997</v>
      </c>
      <c r="E324" s="5">
        <v>120.64700000000001</v>
      </c>
      <c r="F324" s="1" t="s">
        <v>17</v>
      </c>
      <c r="G324" s="5" t="s">
        <v>395</v>
      </c>
      <c r="H324" s="5" t="s">
        <v>378</v>
      </c>
      <c r="I324" s="6">
        <v>1.624047945369966E-5</v>
      </c>
      <c r="J324" s="3" t="s">
        <v>445</v>
      </c>
      <c r="K324" s="5">
        <v>48.07</v>
      </c>
      <c r="L324" s="5">
        <v>0.18</v>
      </c>
      <c r="M324" s="5">
        <v>7.73</v>
      </c>
      <c r="N324" s="5">
        <v>8.48</v>
      </c>
      <c r="O324" s="5">
        <v>4.08</v>
      </c>
      <c r="P324" s="5">
        <v>2.29</v>
      </c>
      <c r="Q324" s="5">
        <v>13.7</v>
      </c>
      <c r="R324" s="5">
        <v>176</v>
      </c>
      <c r="W324" s="5">
        <v>55</v>
      </c>
      <c r="X324" s="5">
        <v>794</v>
      </c>
      <c r="Y324" s="5">
        <v>0</v>
      </c>
      <c r="Z324" s="5">
        <v>6.05</v>
      </c>
      <c r="AA324" s="5">
        <v>1.7</v>
      </c>
      <c r="AB324" s="5">
        <v>82.1</v>
      </c>
      <c r="AC324" s="5">
        <v>4.8</v>
      </c>
      <c r="AD324" s="5">
        <v>47.6</v>
      </c>
      <c r="AE324" s="5">
        <v>93.9</v>
      </c>
      <c r="AH324" s="5">
        <v>1.58</v>
      </c>
      <c r="AI324" s="5">
        <v>620</v>
      </c>
      <c r="AJ324" s="5">
        <v>26.9</v>
      </c>
      <c r="AK324" s="5">
        <v>0</v>
      </c>
      <c r="AL324" s="5">
        <v>0</v>
      </c>
      <c r="AM324" s="5">
        <v>15282.15</v>
      </c>
      <c r="AN324" s="5">
        <v>3185.72</v>
      </c>
      <c r="AO324" s="5">
        <v>3.0379746835443036</v>
      </c>
      <c r="AP324" s="5">
        <v>0</v>
      </c>
      <c r="AQ324" s="5">
        <v>13.57</v>
      </c>
      <c r="AR324" s="5">
        <v>1.72</v>
      </c>
      <c r="AS324" s="5">
        <v>0.67</v>
      </c>
      <c r="AT324" s="5">
        <v>18.95</v>
      </c>
      <c r="AU324" s="5">
        <v>0</v>
      </c>
      <c r="AV324" s="5">
        <v>0</v>
      </c>
      <c r="AW324" s="5">
        <v>7.55</v>
      </c>
      <c r="AX324" s="5">
        <v>13.03</v>
      </c>
      <c r="AY324" s="5">
        <v>0.02</v>
      </c>
      <c r="BB324" s="5">
        <v>51.96</v>
      </c>
    </row>
    <row r="325" spans="1:54" x14ac:dyDescent="0.3">
      <c r="A325" s="1" t="s">
        <v>14</v>
      </c>
      <c r="B325" s="1" t="s">
        <v>15</v>
      </c>
      <c r="C325" s="1" t="s">
        <v>16</v>
      </c>
      <c r="D325" s="5">
        <v>47.457299999999996</v>
      </c>
      <c r="E325" s="5">
        <v>120.6494</v>
      </c>
      <c r="F325" s="1" t="s">
        <v>17</v>
      </c>
      <c r="G325" s="5" t="s">
        <v>396</v>
      </c>
      <c r="H325" s="5" t="s">
        <v>378</v>
      </c>
      <c r="I325" s="6">
        <v>1.9229497411288321E-5</v>
      </c>
      <c r="J325" s="3" t="s">
        <v>445</v>
      </c>
      <c r="K325" s="5">
        <v>48.05</v>
      </c>
      <c r="L325" s="5">
        <v>0.17</v>
      </c>
      <c r="M325" s="5">
        <v>10.6</v>
      </c>
      <c r="N325" s="5">
        <v>9.49</v>
      </c>
      <c r="O325" s="5">
        <v>3.18</v>
      </c>
      <c r="P325" s="5">
        <v>1.46</v>
      </c>
      <c r="Q325" s="5">
        <v>18.8</v>
      </c>
      <c r="R325" s="5">
        <v>190</v>
      </c>
      <c r="W325" s="5">
        <v>27.5</v>
      </c>
      <c r="X325" s="5">
        <v>517</v>
      </c>
      <c r="Y325" s="5">
        <v>0</v>
      </c>
      <c r="Z325" s="5">
        <v>3.52</v>
      </c>
      <c r="AA325" s="5">
        <v>0.9</v>
      </c>
      <c r="AB325" s="5">
        <v>40.9</v>
      </c>
      <c r="AC325" s="5">
        <v>2.5</v>
      </c>
      <c r="AD325" s="5">
        <v>26</v>
      </c>
      <c r="AE325" s="5">
        <v>49.4</v>
      </c>
      <c r="AH325" s="5">
        <v>1.54</v>
      </c>
      <c r="AI325" s="5">
        <v>370</v>
      </c>
      <c r="AJ325" s="5">
        <v>21.7</v>
      </c>
      <c r="AK325" s="5">
        <v>0</v>
      </c>
      <c r="AL325" s="5">
        <v>0</v>
      </c>
      <c r="AM325" s="5">
        <v>12645.23</v>
      </c>
      <c r="AN325" s="5">
        <v>2094.7199999999998</v>
      </c>
      <c r="AO325" s="5">
        <v>1.6233766233766234</v>
      </c>
      <c r="AP325" s="5">
        <v>0</v>
      </c>
      <c r="AQ325" s="5">
        <v>11.62</v>
      </c>
      <c r="AR325" s="5">
        <v>1.57</v>
      </c>
      <c r="AS325" s="5">
        <v>0.67</v>
      </c>
      <c r="AT325" s="5">
        <v>21.02</v>
      </c>
      <c r="AU325" s="5">
        <v>0</v>
      </c>
      <c r="AV325" s="5">
        <v>0</v>
      </c>
      <c r="AW325" s="5">
        <v>9.0500000000000007</v>
      </c>
      <c r="AX325" s="5">
        <v>14.23</v>
      </c>
      <c r="AY325" s="5">
        <v>0.02</v>
      </c>
      <c r="BB325" s="5">
        <v>26.56</v>
      </c>
    </row>
    <row r="326" spans="1:54" x14ac:dyDescent="0.3">
      <c r="A326" s="1" t="s">
        <v>14</v>
      </c>
      <c r="B326" s="1" t="s">
        <v>15</v>
      </c>
      <c r="C326" s="1" t="s">
        <v>16</v>
      </c>
      <c r="D326" s="5">
        <v>47.457299999999996</v>
      </c>
      <c r="E326" s="5">
        <v>120.6494</v>
      </c>
      <c r="F326" s="1" t="s">
        <v>17</v>
      </c>
      <c r="G326" s="5" t="s">
        <v>397</v>
      </c>
      <c r="H326" s="5" t="s">
        <v>378</v>
      </c>
      <c r="I326" s="6">
        <v>5.9666581364581361E-5</v>
      </c>
      <c r="J326" s="3" t="s">
        <v>445</v>
      </c>
      <c r="K326" s="5">
        <v>47.91</v>
      </c>
      <c r="L326" s="5">
        <v>0.17</v>
      </c>
      <c r="M326" s="5">
        <v>10.6</v>
      </c>
      <c r="N326" s="5">
        <v>9.4499999999999993</v>
      </c>
      <c r="O326" s="5">
        <v>3.2</v>
      </c>
      <c r="P326" s="5">
        <v>1.44</v>
      </c>
      <c r="Q326" s="5">
        <v>20.100000000000001</v>
      </c>
      <c r="R326" s="5">
        <v>192</v>
      </c>
      <c r="W326" s="5">
        <v>26.9</v>
      </c>
      <c r="X326" s="5">
        <v>523</v>
      </c>
      <c r="Y326" s="5">
        <v>0</v>
      </c>
      <c r="Z326" s="5">
        <v>3.4</v>
      </c>
      <c r="AA326" s="5">
        <v>0.9</v>
      </c>
      <c r="AB326" s="5">
        <v>46</v>
      </c>
      <c r="AC326" s="5">
        <v>2.6</v>
      </c>
      <c r="AD326" s="5">
        <v>24.9</v>
      </c>
      <c r="AE326" s="5">
        <v>49.4</v>
      </c>
      <c r="AH326" s="5">
        <v>1.57</v>
      </c>
      <c r="AI326" s="5">
        <v>380</v>
      </c>
      <c r="AJ326" s="5">
        <v>21.4</v>
      </c>
      <c r="AK326" s="5">
        <v>0</v>
      </c>
      <c r="AL326" s="5">
        <v>0</v>
      </c>
      <c r="AM326" s="5">
        <v>12585.3</v>
      </c>
      <c r="AN326" s="5">
        <v>2051.08</v>
      </c>
      <c r="AO326" s="5">
        <v>1.6560509554140128</v>
      </c>
      <c r="AP326" s="5">
        <v>0</v>
      </c>
      <c r="AQ326" s="5">
        <v>13.53</v>
      </c>
      <c r="AR326" s="5">
        <v>1.85</v>
      </c>
      <c r="AS326" s="5">
        <v>0.57999999999999996</v>
      </c>
      <c r="AT326" s="5">
        <v>21.61</v>
      </c>
      <c r="AU326" s="5">
        <v>0</v>
      </c>
      <c r="AV326" s="5">
        <v>0</v>
      </c>
      <c r="AW326" s="5">
        <v>8.26</v>
      </c>
      <c r="AX326" s="5">
        <v>15.26</v>
      </c>
      <c r="AY326" s="5">
        <v>0.02</v>
      </c>
      <c r="BB326" s="5">
        <v>29.3</v>
      </c>
    </row>
    <row r="327" spans="1:54" x14ac:dyDescent="0.3">
      <c r="A327" s="1" t="s">
        <v>14</v>
      </c>
      <c r="B327" s="1" t="s">
        <v>15</v>
      </c>
      <c r="C327" s="1" t="s">
        <v>16</v>
      </c>
      <c r="D327" s="5">
        <v>47.457299999999996</v>
      </c>
      <c r="E327" s="5">
        <v>120.6494</v>
      </c>
      <c r="F327" s="1" t="s">
        <v>17</v>
      </c>
      <c r="G327" s="5" t="s">
        <v>398</v>
      </c>
      <c r="H327" s="5" t="s">
        <v>378</v>
      </c>
      <c r="I327" s="6">
        <v>9.454679093323648E-5</v>
      </c>
      <c r="J327" s="3" t="s">
        <v>445</v>
      </c>
      <c r="K327" s="5">
        <v>48.71</v>
      </c>
      <c r="L327" s="5">
        <v>0.17</v>
      </c>
      <c r="M327" s="5">
        <v>10.65</v>
      </c>
      <c r="N327" s="5">
        <v>9.3000000000000007</v>
      </c>
      <c r="O327" s="5">
        <v>3.14</v>
      </c>
      <c r="P327" s="5">
        <v>1.42</v>
      </c>
      <c r="Q327" s="5">
        <v>19.8</v>
      </c>
      <c r="R327" s="5">
        <v>191</v>
      </c>
      <c r="W327" s="5">
        <v>26.8</v>
      </c>
      <c r="X327" s="5">
        <v>494</v>
      </c>
      <c r="Y327" s="5">
        <v>0</v>
      </c>
      <c r="Z327" s="5">
        <v>3.4</v>
      </c>
      <c r="AA327" s="5">
        <v>0.9</v>
      </c>
      <c r="AB327" s="5">
        <v>42.3</v>
      </c>
      <c r="AC327" s="5">
        <v>2.2999999999999998</v>
      </c>
      <c r="AD327" s="5">
        <v>24.1</v>
      </c>
      <c r="AE327" s="5">
        <v>47.5</v>
      </c>
      <c r="AH327" s="5">
        <v>1.58</v>
      </c>
      <c r="AI327" s="5">
        <v>360</v>
      </c>
      <c r="AJ327" s="5">
        <v>22.1</v>
      </c>
      <c r="AK327" s="5">
        <v>0</v>
      </c>
      <c r="AL327" s="5">
        <v>0</v>
      </c>
      <c r="AM327" s="5">
        <v>12525.37</v>
      </c>
      <c r="AN327" s="5">
        <v>1963.8</v>
      </c>
      <c r="AO327" s="5">
        <v>1.4556962025316453</v>
      </c>
      <c r="AP327" s="5">
        <v>0</v>
      </c>
      <c r="AQ327" s="5">
        <v>12.44</v>
      </c>
      <c r="AR327" s="5">
        <v>1.76</v>
      </c>
      <c r="AS327" s="5">
        <v>0.63</v>
      </c>
      <c r="AT327" s="5">
        <v>21.02</v>
      </c>
      <c r="AU327" s="5">
        <v>0</v>
      </c>
      <c r="AV327" s="5">
        <v>0</v>
      </c>
      <c r="AW327" s="5">
        <v>8.51</v>
      </c>
      <c r="AX327" s="5">
        <v>14.94</v>
      </c>
      <c r="AY327" s="5">
        <v>0.02</v>
      </c>
      <c r="BB327" s="5">
        <v>26.77</v>
      </c>
    </row>
    <row r="328" spans="1:54" x14ac:dyDescent="0.3">
      <c r="A328" s="1" t="s">
        <v>14</v>
      </c>
      <c r="B328" s="1" t="s">
        <v>15</v>
      </c>
      <c r="C328" s="1" t="s">
        <v>16</v>
      </c>
      <c r="D328" s="5">
        <v>47.497399999999999</v>
      </c>
      <c r="E328" s="5">
        <v>120.6277</v>
      </c>
      <c r="F328" s="1" t="s">
        <v>17</v>
      </c>
      <c r="G328" s="5" t="s">
        <v>399</v>
      </c>
      <c r="H328" s="5" t="s">
        <v>378</v>
      </c>
      <c r="I328" s="6">
        <v>1.5302741667255759E-4</v>
      </c>
      <c r="J328" s="3" t="s">
        <v>445</v>
      </c>
      <c r="K328" s="5">
        <v>50.59</v>
      </c>
      <c r="L328" s="5">
        <v>0.16</v>
      </c>
      <c r="M328" s="5">
        <v>8.6199999999999992</v>
      </c>
      <c r="N328" s="5">
        <v>9.08</v>
      </c>
      <c r="O328" s="5">
        <v>3.3</v>
      </c>
      <c r="P328" s="5">
        <v>1.34</v>
      </c>
      <c r="Q328" s="5">
        <v>19.899999999999999</v>
      </c>
      <c r="R328" s="5">
        <v>190</v>
      </c>
      <c r="W328" s="5">
        <v>28.1</v>
      </c>
      <c r="X328" s="5">
        <v>396</v>
      </c>
      <c r="Y328" s="5">
        <v>0</v>
      </c>
      <c r="Z328" s="5">
        <v>3.28</v>
      </c>
      <c r="AA328" s="5">
        <v>0.9</v>
      </c>
      <c r="AB328" s="5">
        <v>38.799999999999997</v>
      </c>
      <c r="AC328" s="5">
        <v>2.4</v>
      </c>
      <c r="AD328" s="5">
        <v>21.1</v>
      </c>
      <c r="AE328" s="5">
        <v>42</v>
      </c>
      <c r="AH328" s="5">
        <v>1.64</v>
      </c>
      <c r="AI328" s="5">
        <v>330</v>
      </c>
      <c r="AJ328" s="5">
        <v>22.1</v>
      </c>
      <c r="AK328" s="5">
        <v>0</v>
      </c>
      <c r="AL328" s="5">
        <v>0</v>
      </c>
      <c r="AM328" s="5">
        <v>11986</v>
      </c>
      <c r="AN328" s="5">
        <v>1614.68</v>
      </c>
      <c r="AO328" s="5">
        <v>1.4634146341463414</v>
      </c>
      <c r="AP328" s="5">
        <v>0</v>
      </c>
      <c r="AQ328" s="5">
        <v>11.83</v>
      </c>
      <c r="AR328" s="5">
        <v>1.84</v>
      </c>
      <c r="AS328" s="5">
        <v>0.72</v>
      </c>
      <c r="AT328" s="5">
        <v>19.899999999999999</v>
      </c>
      <c r="AU328" s="5">
        <v>0</v>
      </c>
      <c r="AV328" s="5">
        <v>0</v>
      </c>
      <c r="AW328" s="5">
        <v>8.51</v>
      </c>
      <c r="AX328" s="5">
        <v>15.64</v>
      </c>
      <c r="AY328" s="5">
        <v>0.02</v>
      </c>
      <c r="BB328" s="5">
        <v>23.66</v>
      </c>
    </row>
    <row r="329" spans="1:54" x14ac:dyDescent="0.3">
      <c r="A329" s="1" t="s">
        <v>14</v>
      </c>
      <c r="B329" s="1" t="s">
        <v>15</v>
      </c>
      <c r="C329" s="1" t="s">
        <v>16</v>
      </c>
      <c r="D329" s="5">
        <v>47.497399999999999</v>
      </c>
      <c r="E329" s="5">
        <v>120.6277</v>
      </c>
      <c r="F329" s="1" t="s">
        <v>17</v>
      </c>
      <c r="G329" s="5" t="s">
        <v>400</v>
      </c>
      <c r="H329" s="5" t="s">
        <v>378</v>
      </c>
      <c r="I329" s="6">
        <v>1.5065156912896779E-4</v>
      </c>
      <c r="J329" s="3" t="s">
        <v>445</v>
      </c>
      <c r="K329" s="5">
        <v>50.15</v>
      </c>
      <c r="L329" s="5">
        <v>0.16</v>
      </c>
      <c r="M329" s="5">
        <v>8.65</v>
      </c>
      <c r="N329" s="5">
        <v>9.09</v>
      </c>
      <c r="O329" s="5">
        <v>3.23</v>
      </c>
      <c r="P329" s="5">
        <v>1.26</v>
      </c>
      <c r="Q329" s="5">
        <v>19.899999999999999</v>
      </c>
      <c r="R329" s="5">
        <v>198</v>
      </c>
      <c r="W329" s="5">
        <v>24.5</v>
      </c>
      <c r="X329" s="5">
        <v>400</v>
      </c>
      <c r="Y329" s="5">
        <v>0</v>
      </c>
      <c r="Z329" s="5">
        <v>3.28</v>
      </c>
      <c r="AA329" s="5">
        <v>0.9</v>
      </c>
      <c r="AB329" s="5">
        <v>39.5</v>
      </c>
      <c r="AC329" s="5">
        <v>2.2999999999999998</v>
      </c>
      <c r="AD329" s="5">
        <v>21.8</v>
      </c>
      <c r="AE329" s="5">
        <v>43.7</v>
      </c>
      <c r="AH329" s="5">
        <v>1.69</v>
      </c>
      <c r="AI329" s="5">
        <v>330</v>
      </c>
      <c r="AJ329" s="5">
        <v>22.8</v>
      </c>
      <c r="AK329" s="5">
        <v>0</v>
      </c>
      <c r="AL329" s="5">
        <v>0</v>
      </c>
      <c r="AM329" s="5">
        <v>11986</v>
      </c>
      <c r="AN329" s="5">
        <v>1571.04</v>
      </c>
      <c r="AO329" s="5">
        <v>1.36094674556213</v>
      </c>
      <c r="AP329" s="5">
        <v>0</v>
      </c>
      <c r="AQ329" s="5">
        <v>12.04</v>
      </c>
      <c r="AR329" s="5">
        <v>1.81</v>
      </c>
      <c r="AS329" s="5">
        <v>0.62</v>
      </c>
      <c r="AT329" s="5">
        <v>19.420000000000002</v>
      </c>
      <c r="AU329" s="5">
        <v>0</v>
      </c>
      <c r="AV329" s="5">
        <v>0</v>
      </c>
      <c r="AW329" s="5">
        <v>8.35</v>
      </c>
      <c r="AX329" s="5">
        <v>15.14</v>
      </c>
      <c r="AY329" s="5">
        <v>0.02</v>
      </c>
      <c r="BB329" s="5">
        <v>23.37</v>
      </c>
    </row>
    <row r="330" spans="1:54" x14ac:dyDescent="0.3">
      <c r="A330" s="1" t="s">
        <v>14</v>
      </c>
      <c r="B330" s="1" t="s">
        <v>15</v>
      </c>
      <c r="C330" s="1" t="s">
        <v>16</v>
      </c>
      <c r="D330" s="5">
        <v>47.415100000000002</v>
      </c>
      <c r="E330" s="5">
        <v>120.5346</v>
      </c>
      <c r="F330" s="1" t="s">
        <v>17</v>
      </c>
      <c r="G330" s="5" t="s">
        <v>401</v>
      </c>
      <c r="H330" s="5" t="s">
        <v>378</v>
      </c>
      <c r="I330" s="6">
        <v>4.6293571358546608E-5</v>
      </c>
      <c r="J330" s="3" t="s">
        <v>445</v>
      </c>
      <c r="K330" s="5">
        <v>49.94</v>
      </c>
      <c r="L330" s="5">
        <v>0.16</v>
      </c>
      <c r="M330" s="5">
        <v>8.7100000000000009</v>
      </c>
      <c r="N330" s="5">
        <v>8.68</v>
      </c>
      <c r="O330" s="5">
        <v>3.43</v>
      </c>
      <c r="P330" s="5">
        <v>1.52</v>
      </c>
      <c r="Q330" s="5">
        <v>18.899999999999999</v>
      </c>
      <c r="R330" s="5">
        <v>184</v>
      </c>
      <c r="W330" s="5">
        <v>26.2</v>
      </c>
      <c r="X330" s="5">
        <v>469</v>
      </c>
      <c r="Y330" s="5">
        <v>0</v>
      </c>
      <c r="Z330" s="5">
        <v>3.71</v>
      </c>
      <c r="AA330" s="5">
        <v>1</v>
      </c>
      <c r="AB330" s="5">
        <v>50.3</v>
      </c>
      <c r="AC330" s="5">
        <v>2.9</v>
      </c>
      <c r="AD330" s="5">
        <v>26.1</v>
      </c>
      <c r="AE330" s="5">
        <v>51.2</v>
      </c>
      <c r="AH330" s="5">
        <v>1.65</v>
      </c>
      <c r="AI330" s="5">
        <v>330</v>
      </c>
      <c r="AJ330" s="5">
        <v>23.2</v>
      </c>
      <c r="AK330" s="5">
        <v>0</v>
      </c>
      <c r="AL330" s="5">
        <v>0</v>
      </c>
      <c r="AM330" s="5">
        <v>11866.14</v>
      </c>
      <c r="AN330" s="5">
        <v>1789.24</v>
      </c>
      <c r="AO330" s="5">
        <v>1.7575757575757576</v>
      </c>
      <c r="AP330" s="5">
        <v>0</v>
      </c>
      <c r="AQ330" s="5">
        <v>13.56</v>
      </c>
      <c r="AR330" s="5">
        <v>1.93</v>
      </c>
      <c r="AS330" s="5">
        <v>0.52</v>
      </c>
      <c r="AT330" s="5">
        <v>19.46</v>
      </c>
      <c r="AU330" s="5">
        <v>0</v>
      </c>
      <c r="AV330" s="5">
        <v>0</v>
      </c>
      <c r="AW330" s="5">
        <v>6.56</v>
      </c>
      <c r="AX330" s="5">
        <v>12.64</v>
      </c>
      <c r="AY330" s="5">
        <v>0.02</v>
      </c>
      <c r="BB330" s="5">
        <v>30.48</v>
      </c>
    </row>
    <row r="331" spans="1:54" x14ac:dyDescent="0.3">
      <c r="A331" s="1" t="s">
        <v>14</v>
      </c>
      <c r="B331" s="1" t="s">
        <v>15</v>
      </c>
      <c r="C331" s="1" t="s">
        <v>16</v>
      </c>
      <c r="D331" s="5">
        <v>47.415100000000002</v>
      </c>
      <c r="E331" s="5">
        <v>120.5346</v>
      </c>
      <c r="F331" s="1" t="s">
        <v>17</v>
      </c>
      <c r="G331" s="5" t="s">
        <v>402</v>
      </c>
      <c r="H331" s="5" t="s">
        <v>378</v>
      </c>
      <c r="I331" s="6">
        <v>2.4021648277994251E-4</v>
      </c>
      <c r="J331" s="3" t="s">
        <v>445</v>
      </c>
      <c r="K331" s="5">
        <v>49.8</v>
      </c>
      <c r="L331" s="5">
        <v>0.17</v>
      </c>
      <c r="M331" s="5">
        <v>9.2899999999999991</v>
      </c>
      <c r="N331" s="5">
        <v>8.85</v>
      </c>
      <c r="O331" s="5">
        <v>3.38</v>
      </c>
      <c r="P331" s="5">
        <v>1.52</v>
      </c>
      <c r="Q331" s="5">
        <v>19.600000000000001</v>
      </c>
      <c r="R331" s="5">
        <v>191</v>
      </c>
      <c r="W331" s="5">
        <v>30</v>
      </c>
      <c r="X331" s="5">
        <v>465</v>
      </c>
      <c r="Y331" s="5">
        <v>0</v>
      </c>
      <c r="Z331" s="5">
        <v>3.73</v>
      </c>
      <c r="AA331" s="5">
        <v>1.1000000000000001</v>
      </c>
      <c r="AB331" s="5">
        <v>44</v>
      </c>
      <c r="AC331" s="5">
        <v>2.8</v>
      </c>
      <c r="AD331" s="5">
        <v>25.3</v>
      </c>
      <c r="AE331" s="5">
        <v>49.9</v>
      </c>
      <c r="AH331" s="5">
        <v>1.7</v>
      </c>
      <c r="AI331" s="5">
        <v>356</v>
      </c>
      <c r="AJ331" s="5">
        <v>24</v>
      </c>
      <c r="AK331" s="5">
        <v>0</v>
      </c>
      <c r="AL331" s="5">
        <v>0</v>
      </c>
      <c r="AM331" s="5">
        <v>12225.72</v>
      </c>
      <c r="AN331" s="5">
        <v>1745.6</v>
      </c>
      <c r="AO331" s="5">
        <v>1.6470588235294117</v>
      </c>
      <c r="AP331" s="5">
        <v>0</v>
      </c>
      <c r="AQ331" s="5">
        <v>11.8</v>
      </c>
      <c r="AR331" s="5">
        <v>1.74</v>
      </c>
      <c r="AS331" s="5">
        <v>0.68</v>
      </c>
      <c r="AT331" s="5">
        <v>19.38</v>
      </c>
      <c r="AU331" s="5">
        <v>0</v>
      </c>
      <c r="AV331" s="5">
        <v>0</v>
      </c>
      <c r="AW331" s="5">
        <v>8.09</v>
      </c>
      <c r="AX331" s="5">
        <v>14.07</v>
      </c>
      <c r="AY331" s="5">
        <v>0.03</v>
      </c>
      <c r="BB331" s="5">
        <v>25.88</v>
      </c>
    </row>
    <row r="332" spans="1:54" x14ac:dyDescent="0.3">
      <c r="A332" s="1" t="s">
        <v>14</v>
      </c>
      <c r="B332" s="1" t="s">
        <v>15</v>
      </c>
      <c r="C332" s="1" t="s">
        <v>16</v>
      </c>
      <c r="D332" s="5">
        <v>47.415100000000002</v>
      </c>
      <c r="E332" s="5">
        <v>120.5346</v>
      </c>
      <c r="F332" s="1" t="s">
        <v>17</v>
      </c>
      <c r="G332" s="5" t="s">
        <v>403</v>
      </c>
      <c r="H332" s="5" t="s">
        <v>378</v>
      </c>
      <c r="I332" s="6">
        <v>1.9381846868782301E-5</v>
      </c>
      <c r="J332" s="3" t="s">
        <v>445</v>
      </c>
      <c r="K332" s="5">
        <v>48.56</v>
      </c>
      <c r="L332" s="5">
        <v>0.17</v>
      </c>
      <c r="M332" s="5">
        <v>10.6</v>
      </c>
      <c r="N332" s="5">
        <v>8.93</v>
      </c>
      <c r="O332" s="5">
        <v>3.13</v>
      </c>
      <c r="P332" s="5">
        <v>1.46</v>
      </c>
      <c r="Q332" s="5">
        <v>18.7</v>
      </c>
      <c r="R332" s="5">
        <v>192</v>
      </c>
      <c r="W332" s="5">
        <v>27.6</v>
      </c>
      <c r="X332" s="5">
        <v>453</v>
      </c>
      <c r="Y332" s="5">
        <v>0</v>
      </c>
      <c r="Z332" s="5">
        <v>3.26</v>
      </c>
      <c r="AA332" s="5">
        <v>0.8</v>
      </c>
      <c r="AB332" s="5">
        <v>45</v>
      </c>
      <c r="AC332" s="5">
        <v>2.6</v>
      </c>
      <c r="AD332" s="5">
        <v>24.1</v>
      </c>
      <c r="AE332" s="5">
        <v>48.2</v>
      </c>
      <c r="AH332" s="5">
        <v>1.6</v>
      </c>
      <c r="AI332" s="5">
        <v>350</v>
      </c>
      <c r="AJ332" s="5">
        <v>22.6</v>
      </c>
      <c r="AK332" s="5">
        <v>0</v>
      </c>
      <c r="AL332" s="5">
        <v>0</v>
      </c>
      <c r="AM332" s="5">
        <v>12165.79</v>
      </c>
      <c r="AN332" s="5">
        <v>1745.6</v>
      </c>
      <c r="AO332" s="5">
        <v>1.625</v>
      </c>
      <c r="AP332" s="5">
        <v>0</v>
      </c>
      <c r="AQ332" s="5">
        <v>13.8</v>
      </c>
      <c r="AR332" s="5">
        <v>1.87</v>
      </c>
      <c r="AS332" s="5">
        <v>0.61</v>
      </c>
      <c r="AT332" s="5">
        <v>19.7</v>
      </c>
      <c r="AU332" s="5">
        <v>0</v>
      </c>
      <c r="AV332" s="5">
        <v>0</v>
      </c>
      <c r="AW332" s="5">
        <v>7.78</v>
      </c>
      <c r="AX332" s="5">
        <v>14.52</v>
      </c>
      <c r="AY332" s="5">
        <v>0.02</v>
      </c>
      <c r="BB332" s="5">
        <v>28.13</v>
      </c>
    </row>
  </sheetData>
  <autoFilter ref="A1:AV332" xr:uid="{A9086952-0A43-4525-8166-4CE760A26A31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D81B-99D3-4B88-8478-0EB1E7312B3E}">
  <dimension ref="A1:BR28"/>
  <sheetViews>
    <sheetView workbookViewId="0">
      <selection activeCell="E6" sqref="E6"/>
    </sheetView>
  </sheetViews>
  <sheetFormatPr defaultRowHeight="14" x14ac:dyDescent="0.3"/>
  <cols>
    <col min="1" max="1" width="9.4140625" customWidth="1"/>
    <col min="2" max="2" width="11.58203125" customWidth="1"/>
    <col min="3" max="3" width="10.9140625" customWidth="1"/>
    <col min="4" max="4" width="13.4140625" customWidth="1"/>
    <col min="5" max="5" width="22.08203125" customWidth="1"/>
    <col min="6" max="6" width="14.08203125" customWidth="1"/>
  </cols>
  <sheetData>
    <row r="1" spans="1:70" ht="16" customHeight="1" x14ac:dyDescent="0.3">
      <c r="A1" s="1" t="s">
        <v>0</v>
      </c>
      <c r="B1" s="7" t="s">
        <v>6</v>
      </c>
      <c r="C1" s="7" t="s">
        <v>447</v>
      </c>
      <c r="D1" s="7" t="s">
        <v>448</v>
      </c>
      <c r="E1" s="9" t="s">
        <v>449</v>
      </c>
      <c r="F1" s="9" t="s">
        <v>404</v>
      </c>
      <c r="G1" s="7" t="s">
        <v>450</v>
      </c>
      <c r="H1" s="7" t="s">
        <v>451</v>
      </c>
      <c r="I1" s="7" t="s">
        <v>452</v>
      </c>
      <c r="J1" s="7" t="s">
        <v>453</v>
      </c>
      <c r="K1" s="7" t="s">
        <v>454</v>
      </c>
      <c r="L1" s="7" t="s">
        <v>406</v>
      </c>
      <c r="M1" s="7" t="s">
        <v>407</v>
      </c>
      <c r="N1" s="7" t="s">
        <v>455</v>
      </c>
      <c r="O1" s="7" t="s">
        <v>456</v>
      </c>
      <c r="P1" s="7" t="s">
        <v>457</v>
      </c>
      <c r="Q1" s="7" t="s">
        <v>458</v>
      </c>
      <c r="R1" s="7" t="s">
        <v>459</v>
      </c>
      <c r="S1" s="7" t="s">
        <v>460</v>
      </c>
      <c r="T1" s="7" t="s">
        <v>411</v>
      </c>
      <c r="U1" s="7" t="s">
        <v>412</v>
      </c>
      <c r="V1" s="7" t="s">
        <v>461</v>
      </c>
      <c r="W1" s="7" t="s">
        <v>413</v>
      </c>
      <c r="X1" s="7" t="s">
        <v>414</v>
      </c>
      <c r="Y1" s="7" t="s">
        <v>415</v>
      </c>
      <c r="Z1" s="7" t="s">
        <v>462</v>
      </c>
      <c r="AA1" s="7" t="s">
        <v>463</v>
      </c>
      <c r="AB1" s="7" t="s">
        <v>464</v>
      </c>
      <c r="AC1" s="7" t="s">
        <v>416</v>
      </c>
      <c r="AD1" s="7" t="s">
        <v>417</v>
      </c>
      <c r="AE1" s="7" t="s">
        <v>11</v>
      </c>
      <c r="AF1" s="7" t="s">
        <v>427</v>
      </c>
      <c r="AG1" s="8" t="s">
        <v>420</v>
      </c>
      <c r="AH1" s="7" t="s">
        <v>465</v>
      </c>
      <c r="AI1" s="7" t="s">
        <v>426</v>
      </c>
      <c r="AJ1" s="7" t="s">
        <v>422</v>
      </c>
      <c r="AK1" s="7" t="s">
        <v>423</v>
      </c>
      <c r="AL1" s="7" t="s">
        <v>466</v>
      </c>
      <c r="AM1" s="7" t="s">
        <v>467</v>
      </c>
      <c r="AN1" s="7" t="s">
        <v>468</v>
      </c>
      <c r="AO1" s="7" t="s">
        <v>425</v>
      </c>
      <c r="AP1" s="7" t="s">
        <v>469</v>
      </c>
      <c r="AQ1" s="7" t="s">
        <v>470</v>
      </c>
      <c r="AR1" s="7" t="s">
        <v>471</v>
      </c>
      <c r="AS1" s="7" t="s">
        <v>472</v>
      </c>
      <c r="AT1" s="7" t="s">
        <v>473</v>
      </c>
      <c r="AU1" s="7" t="s">
        <v>474</v>
      </c>
      <c r="AV1" s="7" t="s">
        <v>475</v>
      </c>
      <c r="AW1" s="7" t="s">
        <v>476</v>
      </c>
      <c r="AX1" s="7" t="s">
        <v>477</v>
      </c>
      <c r="AY1" s="7" t="s">
        <v>421</v>
      </c>
      <c r="AZ1" s="7" t="s">
        <v>418</v>
      </c>
      <c r="BA1" s="7" t="s">
        <v>419</v>
      </c>
      <c r="BB1" s="7" t="s">
        <v>9</v>
      </c>
      <c r="BC1" s="10" t="s">
        <v>429</v>
      </c>
      <c r="BD1" s="10" t="s">
        <v>430</v>
      </c>
      <c r="BE1" s="10" t="s">
        <v>431</v>
      </c>
      <c r="BF1" s="10" t="s">
        <v>432</v>
      </c>
      <c r="BG1" s="10" t="s">
        <v>433</v>
      </c>
      <c r="BH1" s="10" t="s">
        <v>434</v>
      </c>
      <c r="BI1" s="10" t="s">
        <v>435</v>
      </c>
      <c r="BJ1" s="10" t="s">
        <v>436</v>
      </c>
      <c r="BK1" s="10" t="s">
        <v>437</v>
      </c>
      <c r="BL1" s="10" t="s">
        <v>438</v>
      </c>
      <c r="BM1" s="10" t="s">
        <v>439</v>
      </c>
      <c r="BN1" s="10" t="s">
        <v>440</v>
      </c>
      <c r="BO1" s="10" t="s">
        <v>441</v>
      </c>
      <c r="BP1" s="10" t="s">
        <v>442</v>
      </c>
      <c r="BQ1" s="10" t="s">
        <v>443</v>
      </c>
      <c r="BR1" s="10" t="s">
        <v>444</v>
      </c>
    </row>
    <row r="2" spans="1:70" ht="17.5" customHeight="1" x14ac:dyDescent="0.3">
      <c r="A2" s="1" t="s">
        <v>525</v>
      </c>
      <c r="B2" s="7" t="s">
        <v>478</v>
      </c>
      <c r="C2" s="7" t="s">
        <v>479</v>
      </c>
      <c r="D2" s="7" t="s">
        <v>480</v>
      </c>
      <c r="E2" s="1">
        <v>0.99900680780410767</v>
      </c>
      <c r="F2" s="7" t="s">
        <v>446</v>
      </c>
      <c r="G2" s="7">
        <v>50.97</v>
      </c>
      <c r="H2" s="7">
        <v>0.82</v>
      </c>
      <c r="I2" s="7">
        <v>16.04</v>
      </c>
      <c r="J2" s="7">
        <v>10.71</v>
      </c>
      <c r="K2" s="7">
        <v>0.17</v>
      </c>
      <c r="L2" s="7">
        <v>6.26</v>
      </c>
      <c r="M2" s="7">
        <v>10.68</v>
      </c>
      <c r="N2" s="7">
        <v>2.93</v>
      </c>
      <c r="O2" s="7">
        <v>1.18</v>
      </c>
      <c r="P2" s="7">
        <v>0.26</v>
      </c>
      <c r="Q2" s="7">
        <v>0.11</v>
      </c>
      <c r="R2" s="7">
        <v>99.32</v>
      </c>
      <c r="S2" s="7">
        <v>36</v>
      </c>
      <c r="T2" s="7">
        <v>337</v>
      </c>
      <c r="U2" s="7">
        <v>123</v>
      </c>
      <c r="V2" s="7">
        <v>35</v>
      </c>
      <c r="W2" s="7">
        <v>55</v>
      </c>
      <c r="X2" s="7">
        <v>175</v>
      </c>
      <c r="Y2" s="7">
        <v>169</v>
      </c>
      <c r="Z2" s="7">
        <v>19</v>
      </c>
      <c r="AA2" s="7">
        <v>12</v>
      </c>
      <c r="AB2" s="7">
        <v>0.47</v>
      </c>
      <c r="AC2" s="7">
        <v>13.7</v>
      </c>
      <c r="AD2" s="7">
        <v>510</v>
      </c>
      <c r="AE2" s="7">
        <v>20.100000000000001</v>
      </c>
      <c r="AF2" s="7">
        <v>76.3</v>
      </c>
      <c r="AG2" s="7">
        <v>1.9</v>
      </c>
      <c r="AH2" s="7">
        <v>0.19</v>
      </c>
      <c r="AI2" s="7">
        <v>208</v>
      </c>
      <c r="AJ2" s="7">
        <v>9.7899999999999991</v>
      </c>
      <c r="AK2" s="7">
        <v>21.4</v>
      </c>
      <c r="AL2" s="7">
        <v>3.12</v>
      </c>
      <c r="AM2" s="7">
        <v>14.4</v>
      </c>
      <c r="AN2" s="7">
        <v>3.45</v>
      </c>
      <c r="AO2" s="7">
        <v>1.04</v>
      </c>
      <c r="AP2" s="7">
        <v>3.46</v>
      </c>
      <c r="AQ2" s="7">
        <v>0.56000000000000005</v>
      </c>
      <c r="AR2" s="7">
        <v>3.23</v>
      </c>
      <c r="AS2" s="7">
        <v>0.68</v>
      </c>
      <c r="AT2" s="7">
        <v>1.9</v>
      </c>
      <c r="AU2" s="7">
        <v>0.26</v>
      </c>
      <c r="AV2" s="7">
        <v>1.84</v>
      </c>
      <c r="AW2" s="7">
        <v>0.28999999999999998</v>
      </c>
      <c r="AX2" s="7">
        <v>2.06</v>
      </c>
      <c r="AY2" s="7">
        <v>0.114</v>
      </c>
      <c r="AZ2" s="7">
        <v>5.66</v>
      </c>
      <c r="BA2" s="7">
        <v>1.29</v>
      </c>
      <c r="BB2" s="7">
        <v>0.41</v>
      </c>
      <c r="BC2" s="1">
        <f>H2*10000*0.5993</f>
        <v>4914.26</v>
      </c>
      <c r="BD2" s="1">
        <f>P2*10000*0.4364</f>
        <v>1134.6400000000001</v>
      </c>
      <c r="BE2" s="1">
        <f>AJ2/AV2</f>
        <v>5.320652173913043</v>
      </c>
      <c r="BF2" s="1">
        <f>AF2/AE2</f>
        <v>3.7960199004975119</v>
      </c>
      <c r="BG2" s="1">
        <f>AG2/BA2</f>
        <v>1.4728682170542635</v>
      </c>
      <c r="BH2" s="1">
        <f>AG2/AJ2</f>
        <v>0.19407558733401431</v>
      </c>
      <c r="BI2" s="1">
        <f>AC2/AG2</f>
        <v>7.2105263157894735</v>
      </c>
      <c r="BJ2" s="1">
        <f>AD2/AM2</f>
        <v>35.416666666666664</v>
      </c>
      <c r="BK2" s="1">
        <f>AZ2/AG2</f>
        <v>2.978947368421053</v>
      </c>
      <c r="BL2" s="1">
        <f>AZ2/AM2</f>
        <v>0.39305555555555555</v>
      </c>
      <c r="BM2" s="1">
        <f>AI2/AG2</f>
        <v>109.47368421052632</v>
      </c>
      <c r="BN2" s="1">
        <f>AI2/AJ2</f>
        <v>21.246169560776305</v>
      </c>
      <c r="BO2" s="1">
        <f>BB2/AG2</f>
        <v>0.21578947368421053</v>
      </c>
      <c r="BP2" s="1">
        <f>AJ2/AN2</f>
        <v>2.8376811594202893</v>
      </c>
      <c r="BQ2" s="1">
        <f>AF2/AG2</f>
        <v>40.157894736842103</v>
      </c>
      <c r="BR2" s="1">
        <f>AG2/AV2</f>
        <v>1.0326086956521738</v>
      </c>
    </row>
    <row r="3" spans="1:70" ht="17.5" customHeight="1" x14ac:dyDescent="0.3">
      <c r="A3" s="1" t="s">
        <v>525</v>
      </c>
      <c r="B3" s="7" t="s">
        <v>481</v>
      </c>
      <c r="C3" s="7" t="s">
        <v>479</v>
      </c>
      <c r="D3" s="7" t="s">
        <v>480</v>
      </c>
      <c r="E3" s="1">
        <v>0.99922430515289307</v>
      </c>
      <c r="F3" s="7" t="s">
        <v>446</v>
      </c>
      <c r="G3" s="7">
        <v>55.19</v>
      </c>
      <c r="H3" s="7">
        <v>0.85</v>
      </c>
      <c r="I3" s="7">
        <v>17.79</v>
      </c>
      <c r="J3" s="7">
        <v>8.52</v>
      </c>
      <c r="K3" s="7">
        <v>0.18</v>
      </c>
      <c r="L3" s="7">
        <v>3.61</v>
      </c>
      <c r="M3" s="7">
        <v>8.44</v>
      </c>
      <c r="N3" s="7">
        <v>3.86</v>
      </c>
      <c r="O3" s="7">
        <v>1.35</v>
      </c>
      <c r="P3" s="7">
        <v>0.22</v>
      </c>
      <c r="Q3" s="7">
        <v>0.06</v>
      </c>
      <c r="R3" s="7">
        <v>98.74</v>
      </c>
      <c r="S3" s="7">
        <v>25</v>
      </c>
      <c r="T3" s="7">
        <v>285</v>
      </c>
      <c r="U3" s="7">
        <v>3</v>
      </c>
      <c r="V3" s="7">
        <v>23</v>
      </c>
      <c r="W3" s="7">
        <v>12</v>
      </c>
      <c r="X3" s="7">
        <v>112</v>
      </c>
      <c r="Y3" s="7">
        <v>83</v>
      </c>
      <c r="Z3" s="7">
        <v>20</v>
      </c>
      <c r="AA3" s="7"/>
      <c r="AB3" s="7"/>
      <c r="AC3" s="7">
        <v>21.1</v>
      </c>
      <c r="AD3" s="7">
        <v>509</v>
      </c>
      <c r="AE3" s="7">
        <v>26.3</v>
      </c>
      <c r="AF3" s="7">
        <v>105</v>
      </c>
      <c r="AG3" s="7">
        <v>4.78</v>
      </c>
      <c r="AH3" s="7">
        <v>0.19</v>
      </c>
      <c r="AI3" s="7">
        <v>258</v>
      </c>
      <c r="AJ3" s="7">
        <v>12</v>
      </c>
      <c r="AK3" s="7">
        <v>23.9</v>
      </c>
      <c r="AL3" s="7">
        <v>3.13</v>
      </c>
      <c r="AM3" s="7">
        <v>15.1</v>
      </c>
      <c r="AN3" s="7">
        <v>3.33</v>
      </c>
      <c r="AO3" s="7">
        <v>1.03</v>
      </c>
      <c r="AP3" s="7">
        <v>3.72</v>
      </c>
      <c r="AQ3" s="7">
        <v>0.61</v>
      </c>
      <c r="AR3" s="7">
        <v>3.87</v>
      </c>
      <c r="AS3" s="7">
        <v>0.83</v>
      </c>
      <c r="AT3" s="7">
        <v>2.31</v>
      </c>
      <c r="AU3" s="7">
        <v>0.39</v>
      </c>
      <c r="AV3" s="7">
        <v>2.33</v>
      </c>
      <c r="AW3" s="7">
        <v>0.32</v>
      </c>
      <c r="AX3" s="7">
        <v>2.7</v>
      </c>
      <c r="AY3" s="7">
        <v>0.28999999999999998</v>
      </c>
      <c r="AZ3" s="7">
        <v>2.73</v>
      </c>
      <c r="BA3" s="7">
        <v>1.51</v>
      </c>
      <c r="BB3" s="7">
        <v>0.63</v>
      </c>
      <c r="BC3" s="1">
        <f t="shared" ref="BC3:BC28" si="0">H3*10000*0.5993</f>
        <v>5094.05</v>
      </c>
      <c r="BD3" s="1">
        <f t="shared" ref="BD3:BD28" si="1">P3*10000*0.4364</f>
        <v>960.08</v>
      </c>
      <c r="BE3" s="1">
        <f t="shared" ref="BE3:BE28" si="2">AJ3/AV3</f>
        <v>5.1502145922746783</v>
      </c>
      <c r="BF3" s="1">
        <f t="shared" ref="BF3:BF28" si="3">AF3/AE3</f>
        <v>3.9923954372623571</v>
      </c>
      <c r="BG3" s="1">
        <f t="shared" ref="BG3:BG28" si="4">AG3/BA3</f>
        <v>3.1655629139072849</v>
      </c>
      <c r="BH3" s="1">
        <f t="shared" ref="BH3:BH28" si="5">AG3/AJ3</f>
        <v>0.39833333333333337</v>
      </c>
      <c r="BI3" s="1">
        <f t="shared" ref="BI3:BI28" si="6">AC3/AG3</f>
        <v>4.4142259414225942</v>
      </c>
      <c r="BJ3" s="1">
        <f t="shared" ref="BJ3:BJ28" si="7">AD3/AM3</f>
        <v>33.70860927152318</v>
      </c>
      <c r="BK3" s="1">
        <f t="shared" ref="BK3:BK28" si="8">AZ3/AG3</f>
        <v>0.57112970711297073</v>
      </c>
      <c r="BL3" s="1">
        <f t="shared" ref="BL3:BL28" si="9">AZ3/AM3</f>
        <v>0.18079470198675496</v>
      </c>
      <c r="BM3" s="1">
        <f t="shared" ref="BM3:BM28" si="10">AI3/AG3</f>
        <v>53.97489539748954</v>
      </c>
      <c r="BN3" s="1">
        <f t="shared" ref="BN3:BN28" si="11">AI3/AJ3</f>
        <v>21.5</v>
      </c>
      <c r="BO3" s="1">
        <f t="shared" ref="BO3:BO28" si="12">BB3/AG3</f>
        <v>0.1317991631799163</v>
      </c>
      <c r="BP3" s="1">
        <f t="shared" ref="BP3:BP28" si="13">AJ3/AN3</f>
        <v>3.6036036036036037</v>
      </c>
      <c r="BQ3" s="1">
        <f t="shared" ref="BQ3:BQ28" si="14">AF3/AG3</f>
        <v>21.96652719665272</v>
      </c>
      <c r="BR3" s="1">
        <f t="shared" ref="BR3:BR28" si="15">AG3/AV3</f>
        <v>2.0515021459227469</v>
      </c>
    </row>
    <row r="4" spans="1:70" ht="17.5" customHeight="1" x14ac:dyDescent="0.3">
      <c r="A4" s="1" t="s">
        <v>525</v>
      </c>
      <c r="B4" s="7" t="s">
        <v>482</v>
      </c>
      <c r="C4" s="7" t="s">
        <v>479</v>
      </c>
      <c r="D4" s="7" t="s">
        <v>480</v>
      </c>
      <c r="E4" s="1">
        <v>0.99990785121917725</v>
      </c>
      <c r="F4" s="7" t="s">
        <v>446</v>
      </c>
      <c r="G4" s="7">
        <v>51.03</v>
      </c>
      <c r="H4" s="7">
        <v>0.85</v>
      </c>
      <c r="I4" s="7">
        <v>20.190000000000001</v>
      </c>
      <c r="J4" s="7">
        <v>9.58</v>
      </c>
      <c r="K4" s="7">
        <v>0.16</v>
      </c>
      <c r="L4" s="7">
        <v>3.56</v>
      </c>
      <c r="M4" s="7">
        <v>9.76</v>
      </c>
      <c r="N4" s="7">
        <v>3.46</v>
      </c>
      <c r="O4" s="7">
        <v>1.1599999999999999</v>
      </c>
      <c r="P4" s="7">
        <v>0.28000000000000003</v>
      </c>
      <c r="Q4" s="7">
        <v>0.45</v>
      </c>
      <c r="R4" s="7">
        <v>99.74</v>
      </c>
      <c r="S4" s="7">
        <v>23</v>
      </c>
      <c r="T4" s="7">
        <v>307</v>
      </c>
      <c r="U4" s="7">
        <v>8</v>
      </c>
      <c r="V4" s="7">
        <v>25</v>
      </c>
      <c r="W4" s="7">
        <v>12</v>
      </c>
      <c r="X4" s="7">
        <v>215</v>
      </c>
      <c r="Y4" s="7">
        <v>87</v>
      </c>
      <c r="Z4" s="7">
        <v>22</v>
      </c>
      <c r="AA4" s="7"/>
      <c r="AB4" s="7"/>
      <c r="AC4" s="7">
        <v>8.8000000000000007</v>
      </c>
      <c r="AD4" s="7">
        <v>707</v>
      </c>
      <c r="AE4" s="7">
        <v>20.100000000000001</v>
      </c>
      <c r="AF4" s="7">
        <v>84.7</v>
      </c>
      <c r="AG4" s="7">
        <v>2.19</v>
      </c>
      <c r="AH4" s="7">
        <v>0.2</v>
      </c>
      <c r="AI4" s="7">
        <v>235</v>
      </c>
      <c r="AJ4" s="7">
        <v>11.8</v>
      </c>
      <c r="AK4" s="7">
        <v>25.5</v>
      </c>
      <c r="AL4" s="7">
        <v>3.52</v>
      </c>
      <c r="AM4" s="7">
        <v>16</v>
      </c>
      <c r="AN4" s="7">
        <v>3.93</v>
      </c>
      <c r="AO4" s="7">
        <v>1.26</v>
      </c>
      <c r="AP4" s="7">
        <v>3.93</v>
      </c>
      <c r="AQ4" s="7">
        <v>0.54</v>
      </c>
      <c r="AR4" s="7">
        <v>3.81</v>
      </c>
      <c r="AS4" s="7">
        <v>0.61</v>
      </c>
      <c r="AT4" s="7">
        <v>2.04</v>
      </c>
      <c r="AU4" s="7">
        <v>0.31</v>
      </c>
      <c r="AV4" s="7">
        <v>2.12</v>
      </c>
      <c r="AW4" s="7">
        <v>0.31</v>
      </c>
      <c r="AX4" s="7">
        <v>2.42</v>
      </c>
      <c r="AY4" s="7">
        <v>0.14299999999999999</v>
      </c>
      <c r="AZ4" s="7">
        <v>4.96</v>
      </c>
      <c r="BA4" s="7">
        <v>1.44</v>
      </c>
      <c r="BB4" s="7">
        <v>0.47</v>
      </c>
      <c r="BC4" s="1">
        <f t="shared" si="0"/>
        <v>5094.05</v>
      </c>
      <c r="BD4" s="1">
        <f t="shared" si="1"/>
        <v>1221.9200000000003</v>
      </c>
      <c r="BE4" s="1">
        <f t="shared" si="2"/>
        <v>5.5660377358490569</v>
      </c>
      <c r="BF4" s="1">
        <f t="shared" si="3"/>
        <v>4.2139303482587067</v>
      </c>
      <c r="BG4" s="1">
        <f t="shared" si="4"/>
        <v>1.5208333333333333</v>
      </c>
      <c r="BH4" s="1">
        <f t="shared" si="5"/>
        <v>0.18559322033898304</v>
      </c>
      <c r="BI4" s="1">
        <f t="shared" si="6"/>
        <v>4.0182648401826491</v>
      </c>
      <c r="BJ4" s="1">
        <f t="shared" si="7"/>
        <v>44.1875</v>
      </c>
      <c r="BK4" s="1">
        <f t="shared" si="8"/>
        <v>2.2648401826484017</v>
      </c>
      <c r="BL4" s="1">
        <f t="shared" si="9"/>
        <v>0.31</v>
      </c>
      <c r="BM4" s="1">
        <f t="shared" si="10"/>
        <v>107.30593607305936</v>
      </c>
      <c r="BN4" s="1">
        <f t="shared" si="11"/>
        <v>19.915254237288135</v>
      </c>
      <c r="BO4" s="1">
        <f t="shared" si="12"/>
        <v>0.21461187214611871</v>
      </c>
      <c r="BP4" s="1">
        <f t="shared" si="13"/>
        <v>3.0025445292620865</v>
      </c>
      <c r="BQ4" s="1">
        <f t="shared" si="14"/>
        <v>38.675799086757991</v>
      </c>
      <c r="BR4" s="1">
        <f t="shared" si="15"/>
        <v>1.0330188679245282</v>
      </c>
    </row>
    <row r="5" spans="1:70" ht="17.5" customHeight="1" x14ac:dyDescent="0.3">
      <c r="A5" s="1" t="s">
        <v>525</v>
      </c>
      <c r="B5" s="7" t="s">
        <v>483</v>
      </c>
      <c r="C5" s="7" t="s">
        <v>484</v>
      </c>
      <c r="D5" s="7" t="s">
        <v>485</v>
      </c>
      <c r="E5" s="1">
        <v>0.99994862079620361</v>
      </c>
      <c r="F5" s="7" t="s">
        <v>446</v>
      </c>
      <c r="G5" s="7">
        <v>51.29</v>
      </c>
      <c r="H5" s="7">
        <v>0.76</v>
      </c>
      <c r="I5" s="7">
        <v>16.45</v>
      </c>
      <c r="J5" s="7">
        <v>10.52</v>
      </c>
      <c r="K5" s="7">
        <v>0.19</v>
      </c>
      <c r="L5" s="7">
        <v>6.44</v>
      </c>
      <c r="M5" s="7">
        <v>10.75</v>
      </c>
      <c r="N5" s="7">
        <v>2.61</v>
      </c>
      <c r="O5" s="7">
        <v>0.82</v>
      </c>
      <c r="P5" s="7">
        <v>0.2</v>
      </c>
      <c r="Q5" s="7">
        <v>0.08</v>
      </c>
      <c r="R5" s="7">
        <v>99.28</v>
      </c>
      <c r="S5" s="7">
        <v>33</v>
      </c>
      <c r="T5" s="7">
        <v>266</v>
      </c>
      <c r="U5" s="7">
        <v>104</v>
      </c>
      <c r="V5" s="7">
        <v>34</v>
      </c>
      <c r="W5" s="7">
        <v>40</v>
      </c>
      <c r="X5" s="7">
        <v>130</v>
      </c>
      <c r="Y5" s="7">
        <v>66</v>
      </c>
      <c r="Z5" s="7">
        <v>15</v>
      </c>
      <c r="AA5" s="7"/>
      <c r="AB5" s="7"/>
      <c r="AC5" s="7">
        <v>6.4</v>
      </c>
      <c r="AD5" s="7">
        <v>481</v>
      </c>
      <c r="AE5" s="7">
        <v>19.100000000000001</v>
      </c>
      <c r="AF5" s="7">
        <v>46.5</v>
      </c>
      <c r="AG5" s="7">
        <v>1.04</v>
      </c>
      <c r="AH5" s="7">
        <v>0.22</v>
      </c>
      <c r="AI5" s="7">
        <v>229</v>
      </c>
      <c r="AJ5" s="7">
        <v>6.83</v>
      </c>
      <c r="AK5" s="7">
        <v>14.8</v>
      </c>
      <c r="AL5" s="7">
        <v>2.41</v>
      </c>
      <c r="AM5" s="7">
        <v>11.6</v>
      </c>
      <c r="AN5" s="7">
        <v>3.24</v>
      </c>
      <c r="AO5" s="7">
        <v>1.1399999999999999</v>
      </c>
      <c r="AP5" s="7">
        <v>3.56</v>
      </c>
      <c r="AQ5" s="7">
        <v>0.55000000000000004</v>
      </c>
      <c r="AR5" s="7">
        <v>3.41</v>
      </c>
      <c r="AS5" s="7">
        <v>0.68</v>
      </c>
      <c r="AT5" s="7">
        <v>2.0499999999999998</v>
      </c>
      <c r="AU5" s="7">
        <v>0.3</v>
      </c>
      <c r="AV5" s="7">
        <v>1.97</v>
      </c>
      <c r="AW5" s="7">
        <v>0.32</v>
      </c>
      <c r="AX5" s="7">
        <v>1.45</v>
      </c>
      <c r="AY5" s="7">
        <v>7.9000000000000001E-2</v>
      </c>
      <c r="AZ5" s="7">
        <v>1.81</v>
      </c>
      <c r="BA5" s="7">
        <v>0.62</v>
      </c>
      <c r="BB5" s="7">
        <v>0.35</v>
      </c>
      <c r="BC5" s="1">
        <f t="shared" si="0"/>
        <v>4554.68</v>
      </c>
      <c r="BD5" s="1">
        <f t="shared" si="1"/>
        <v>872.80000000000007</v>
      </c>
      <c r="BE5" s="1">
        <f t="shared" si="2"/>
        <v>3.467005076142132</v>
      </c>
      <c r="BF5" s="1">
        <f t="shared" si="3"/>
        <v>2.4345549738219892</v>
      </c>
      <c r="BG5" s="1">
        <f t="shared" si="4"/>
        <v>1.6774193548387097</v>
      </c>
      <c r="BH5" s="1">
        <f t="shared" si="5"/>
        <v>0.15226939970717424</v>
      </c>
      <c r="BI5" s="1">
        <f t="shared" si="6"/>
        <v>6.1538461538461542</v>
      </c>
      <c r="BJ5" s="1">
        <f t="shared" si="7"/>
        <v>41.46551724137931</v>
      </c>
      <c r="BK5" s="1">
        <f t="shared" si="8"/>
        <v>1.7403846153846154</v>
      </c>
      <c r="BL5" s="1">
        <f t="shared" si="9"/>
        <v>0.1560344827586207</v>
      </c>
      <c r="BM5" s="1">
        <f t="shared" si="10"/>
        <v>220.19230769230768</v>
      </c>
      <c r="BN5" s="1">
        <f t="shared" si="11"/>
        <v>33.528550512445094</v>
      </c>
      <c r="BO5" s="1">
        <f t="shared" si="12"/>
        <v>0.33653846153846151</v>
      </c>
      <c r="BP5" s="1">
        <f t="shared" si="13"/>
        <v>2.1080246913580245</v>
      </c>
      <c r="BQ5" s="1">
        <f t="shared" si="14"/>
        <v>44.71153846153846</v>
      </c>
      <c r="BR5" s="1">
        <f t="shared" si="15"/>
        <v>0.52791878172588835</v>
      </c>
    </row>
    <row r="6" spans="1:70" ht="17.5" customHeight="1" x14ac:dyDescent="0.3">
      <c r="A6" s="1" t="s">
        <v>525</v>
      </c>
      <c r="B6" s="7" t="s">
        <v>486</v>
      </c>
      <c r="C6" s="7" t="s">
        <v>484</v>
      </c>
      <c r="D6" s="7" t="s">
        <v>487</v>
      </c>
      <c r="E6" s="1">
        <v>0.99905985593795776</v>
      </c>
      <c r="F6" s="7" t="s">
        <v>446</v>
      </c>
      <c r="G6" s="7">
        <v>48.72</v>
      </c>
      <c r="H6" s="7">
        <v>0.83</v>
      </c>
      <c r="I6" s="7">
        <v>17.91</v>
      </c>
      <c r="J6" s="7">
        <v>11.78</v>
      </c>
      <c r="K6" s="7">
        <v>0.2</v>
      </c>
      <c r="L6" s="7">
        <v>6.07</v>
      </c>
      <c r="M6" s="7">
        <v>11.05</v>
      </c>
      <c r="N6" s="7">
        <v>2.67</v>
      </c>
      <c r="O6" s="7">
        <v>0.61</v>
      </c>
      <c r="P6" s="7">
        <v>0.19</v>
      </c>
      <c r="Q6" s="7">
        <v>-0.08</v>
      </c>
      <c r="R6" s="7">
        <v>100.03</v>
      </c>
      <c r="S6" s="7">
        <v>40</v>
      </c>
      <c r="T6" s="7">
        <v>407</v>
      </c>
      <c r="U6" s="7">
        <v>40</v>
      </c>
      <c r="V6" s="7">
        <v>41</v>
      </c>
      <c r="W6" s="7">
        <v>25</v>
      </c>
      <c r="X6" s="7">
        <v>61</v>
      </c>
      <c r="Y6" s="7">
        <v>73</v>
      </c>
      <c r="Z6" s="7">
        <v>26</v>
      </c>
      <c r="AA6" s="7">
        <v>5.8</v>
      </c>
      <c r="AB6" s="7">
        <v>0.38</v>
      </c>
      <c r="AC6" s="7">
        <v>8.9</v>
      </c>
      <c r="AD6" s="7">
        <v>543</v>
      </c>
      <c r="AE6" s="7">
        <v>18.3</v>
      </c>
      <c r="AF6" s="7">
        <v>40.5</v>
      </c>
      <c r="AG6" s="7">
        <v>1.55</v>
      </c>
      <c r="AH6" s="7">
        <v>0.13</v>
      </c>
      <c r="AI6" s="7">
        <v>249</v>
      </c>
      <c r="AJ6" s="7">
        <v>5.81</v>
      </c>
      <c r="AK6" s="7">
        <v>14.4</v>
      </c>
      <c r="AL6" s="7">
        <v>2.23</v>
      </c>
      <c r="AM6" s="7">
        <v>10.6</v>
      </c>
      <c r="AN6" s="7">
        <v>3.04</v>
      </c>
      <c r="AO6" s="7">
        <v>1.05</v>
      </c>
      <c r="AP6" s="7">
        <v>3.5</v>
      </c>
      <c r="AQ6" s="7">
        <v>0.45</v>
      </c>
      <c r="AR6" s="7">
        <v>3.14</v>
      </c>
      <c r="AS6" s="7">
        <v>0.67</v>
      </c>
      <c r="AT6" s="7">
        <v>2.04</v>
      </c>
      <c r="AU6" s="7">
        <v>0.27</v>
      </c>
      <c r="AV6" s="7">
        <v>1.82</v>
      </c>
      <c r="AW6" s="7">
        <v>0.26</v>
      </c>
      <c r="AX6" s="7">
        <v>1.23</v>
      </c>
      <c r="AY6" s="7">
        <v>0.10299999999999999</v>
      </c>
      <c r="AZ6" s="7">
        <v>2.34</v>
      </c>
      <c r="BA6" s="7">
        <v>0.26</v>
      </c>
      <c r="BB6" s="7">
        <v>0.15</v>
      </c>
      <c r="BC6" s="1">
        <f t="shared" si="0"/>
        <v>4974.1900000000005</v>
      </c>
      <c r="BD6" s="1">
        <f t="shared" si="1"/>
        <v>829.16</v>
      </c>
      <c r="BE6" s="1">
        <f t="shared" si="2"/>
        <v>3.1923076923076921</v>
      </c>
      <c r="BF6" s="1">
        <f t="shared" si="3"/>
        <v>2.2131147540983607</v>
      </c>
      <c r="BG6" s="1">
        <f t="shared" si="4"/>
        <v>5.9615384615384617</v>
      </c>
      <c r="BH6" s="1">
        <f t="shared" si="5"/>
        <v>0.26678141135972466</v>
      </c>
      <c r="BI6" s="1">
        <f t="shared" si="6"/>
        <v>5.741935483870968</v>
      </c>
      <c r="BJ6" s="1">
        <f t="shared" si="7"/>
        <v>51.226415094339622</v>
      </c>
      <c r="BK6" s="1">
        <f t="shared" si="8"/>
        <v>1.5096774193548386</v>
      </c>
      <c r="BL6" s="1">
        <f t="shared" si="9"/>
        <v>0.22075471698113208</v>
      </c>
      <c r="BM6" s="1">
        <f t="shared" si="10"/>
        <v>160.64516129032256</v>
      </c>
      <c r="BN6" s="1">
        <f t="shared" si="11"/>
        <v>42.857142857142861</v>
      </c>
      <c r="BO6" s="1">
        <f t="shared" si="12"/>
        <v>9.6774193548387094E-2</v>
      </c>
      <c r="BP6" s="1">
        <f t="shared" si="13"/>
        <v>1.9111842105263157</v>
      </c>
      <c r="BQ6" s="1">
        <f t="shared" si="14"/>
        <v>26.129032258064516</v>
      </c>
      <c r="BR6" s="1">
        <f t="shared" si="15"/>
        <v>0.85164835164835162</v>
      </c>
    </row>
    <row r="7" spans="1:70" ht="17.5" customHeight="1" x14ac:dyDescent="0.3">
      <c r="A7" s="1" t="s">
        <v>525</v>
      </c>
      <c r="B7" s="7" t="s">
        <v>488</v>
      </c>
      <c r="C7" s="7" t="s">
        <v>489</v>
      </c>
      <c r="D7" s="7" t="s">
        <v>487</v>
      </c>
      <c r="E7" s="1">
        <v>0.99997925758361816</v>
      </c>
      <c r="F7" s="7" t="s">
        <v>446</v>
      </c>
      <c r="G7" s="7">
        <v>48.2</v>
      </c>
      <c r="H7" s="7">
        <v>0.82</v>
      </c>
      <c r="I7" s="7">
        <v>18.54</v>
      </c>
      <c r="J7" s="7">
        <v>13.15</v>
      </c>
      <c r="K7" s="7">
        <v>0.23</v>
      </c>
      <c r="L7" s="7">
        <v>5.98</v>
      </c>
      <c r="M7" s="7">
        <v>9.89</v>
      </c>
      <c r="N7" s="7">
        <v>2.2599999999999998</v>
      </c>
      <c r="O7" s="7">
        <v>0.78</v>
      </c>
      <c r="P7" s="7">
        <v>0.16</v>
      </c>
      <c r="Q7" s="7">
        <v>1.62</v>
      </c>
      <c r="R7" s="7">
        <v>99.55</v>
      </c>
      <c r="S7" s="7">
        <v>39</v>
      </c>
      <c r="T7" s="7">
        <v>491</v>
      </c>
      <c r="U7" s="7">
        <v>31</v>
      </c>
      <c r="V7" s="7">
        <v>47</v>
      </c>
      <c r="W7" s="7">
        <v>29</v>
      </c>
      <c r="X7" s="7">
        <v>139</v>
      </c>
      <c r="Y7" s="7">
        <v>87</v>
      </c>
      <c r="Z7" s="7">
        <v>21</v>
      </c>
      <c r="AA7" s="7"/>
      <c r="AB7" s="7"/>
      <c r="AC7" s="7">
        <v>9.5</v>
      </c>
      <c r="AD7" s="7">
        <v>543</v>
      </c>
      <c r="AE7" s="7">
        <v>19.8</v>
      </c>
      <c r="AF7" s="7">
        <v>43.3</v>
      </c>
      <c r="AG7" s="7">
        <v>1.08</v>
      </c>
      <c r="AH7" s="7">
        <v>0.44</v>
      </c>
      <c r="AI7" s="7">
        <v>201</v>
      </c>
      <c r="AJ7" s="7">
        <v>8.77</v>
      </c>
      <c r="AK7" s="7">
        <v>16</v>
      </c>
      <c r="AL7" s="7">
        <v>2.52</v>
      </c>
      <c r="AM7" s="7">
        <v>12.7</v>
      </c>
      <c r="AN7" s="7">
        <v>3.29</v>
      </c>
      <c r="AO7" s="7">
        <v>1.17</v>
      </c>
      <c r="AP7" s="7">
        <v>3.8</v>
      </c>
      <c r="AQ7" s="7">
        <v>0.59</v>
      </c>
      <c r="AR7" s="7">
        <v>3.3</v>
      </c>
      <c r="AS7" s="7">
        <v>0.66</v>
      </c>
      <c r="AT7" s="7">
        <v>1.86</v>
      </c>
      <c r="AU7" s="7">
        <v>0.28000000000000003</v>
      </c>
      <c r="AV7" s="7">
        <v>1.67</v>
      </c>
      <c r="AW7" s="7">
        <v>0.34</v>
      </c>
      <c r="AX7" s="7">
        <v>1.26</v>
      </c>
      <c r="AY7" s="7">
        <v>5.3999999999999999E-2</v>
      </c>
      <c r="AZ7" s="7">
        <v>2.9</v>
      </c>
      <c r="BA7" s="7">
        <v>0.78</v>
      </c>
      <c r="BB7" s="7">
        <v>0.42</v>
      </c>
      <c r="BC7" s="1">
        <f t="shared" si="0"/>
        <v>4914.26</v>
      </c>
      <c r="BD7" s="1">
        <f t="shared" si="1"/>
        <v>698.24</v>
      </c>
      <c r="BE7" s="1">
        <f t="shared" si="2"/>
        <v>5.2514970059880239</v>
      </c>
      <c r="BF7" s="1">
        <f t="shared" si="3"/>
        <v>2.1868686868686869</v>
      </c>
      <c r="BG7" s="1">
        <f t="shared" si="4"/>
        <v>1.3846153846153846</v>
      </c>
      <c r="BH7" s="1">
        <f t="shared" si="5"/>
        <v>0.12314709236031929</v>
      </c>
      <c r="BI7" s="1">
        <f t="shared" si="6"/>
        <v>8.7962962962962958</v>
      </c>
      <c r="BJ7" s="1">
        <f t="shared" si="7"/>
        <v>42.755905511811029</v>
      </c>
      <c r="BK7" s="1">
        <f t="shared" si="8"/>
        <v>2.6851851851851851</v>
      </c>
      <c r="BL7" s="1">
        <f t="shared" si="9"/>
        <v>0.2283464566929134</v>
      </c>
      <c r="BM7" s="1">
        <f t="shared" si="10"/>
        <v>186.11111111111109</v>
      </c>
      <c r="BN7" s="1">
        <f t="shared" si="11"/>
        <v>22.919042189281644</v>
      </c>
      <c r="BO7" s="1">
        <f t="shared" si="12"/>
        <v>0.38888888888888884</v>
      </c>
      <c r="BP7" s="1">
        <f t="shared" si="13"/>
        <v>2.6656534954407292</v>
      </c>
      <c r="BQ7" s="1">
        <f t="shared" si="14"/>
        <v>40.092592592592588</v>
      </c>
      <c r="BR7" s="1">
        <f t="shared" si="15"/>
        <v>0.64670658682634741</v>
      </c>
    </row>
    <row r="8" spans="1:70" ht="17.5" customHeight="1" x14ac:dyDescent="0.3">
      <c r="A8" s="1" t="s">
        <v>525</v>
      </c>
      <c r="B8" s="7" t="s">
        <v>490</v>
      </c>
      <c r="C8" s="7" t="s">
        <v>489</v>
      </c>
      <c r="D8" s="7" t="s">
        <v>480</v>
      </c>
      <c r="E8" s="1">
        <v>0.99993371963500977</v>
      </c>
      <c r="F8" s="7" t="s">
        <v>446</v>
      </c>
      <c r="G8" s="7">
        <v>49.21</v>
      </c>
      <c r="H8" s="7">
        <v>0.85</v>
      </c>
      <c r="I8" s="7">
        <v>16.059999999999999</v>
      </c>
      <c r="J8" s="7">
        <v>12.35</v>
      </c>
      <c r="K8" s="7">
        <v>0.2</v>
      </c>
      <c r="L8" s="7">
        <v>6.37</v>
      </c>
      <c r="M8" s="7">
        <v>11.04</v>
      </c>
      <c r="N8" s="7">
        <v>2.79</v>
      </c>
      <c r="O8" s="7">
        <v>0.95</v>
      </c>
      <c r="P8" s="7">
        <v>0.21</v>
      </c>
      <c r="Q8" s="7">
        <v>-0.02</v>
      </c>
      <c r="R8" s="7">
        <v>99.57</v>
      </c>
      <c r="S8" s="7">
        <v>39</v>
      </c>
      <c r="T8" s="7">
        <v>372</v>
      </c>
      <c r="U8" s="7">
        <v>94</v>
      </c>
      <c r="V8" s="7">
        <v>44</v>
      </c>
      <c r="W8" s="7">
        <v>30</v>
      </c>
      <c r="X8" s="7">
        <v>112</v>
      </c>
      <c r="Y8" s="7">
        <v>82</v>
      </c>
      <c r="Z8" s="7">
        <v>19</v>
      </c>
      <c r="AA8" s="7">
        <v>3.6</v>
      </c>
      <c r="AB8" s="7">
        <v>0.43</v>
      </c>
      <c r="AC8" s="7">
        <v>14</v>
      </c>
      <c r="AD8" s="7">
        <v>542</v>
      </c>
      <c r="AE8" s="7">
        <v>18.600000000000001</v>
      </c>
      <c r="AF8" s="7">
        <v>57.4</v>
      </c>
      <c r="AG8" s="7">
        <v>1.25</v>
      </c>
      <c r="AH8" s="7">
        <v>0.09</v>
      </c>
      <c r="AI8" s="7">
        <v>228</v>
      </c>
      <c r="AJ8" s="7">
        <v>8.26</v>
      </c>
      <c r="AK8" s="7">
        <v>17.899999999999999</v>
      </c>
      <c r="AL8" s="7">
        <v>2.4700000000000002</v>
      </c>
      <c r="AM8" s="7">
        <v>12</v>
      </c>
      <c r="AN8" s="7">
        <v>2.83</v>
      </c>
      <c r="AO8" s="7">
        <v>1.1399999999999999</v>
      </c>
      <c r="AP8" s="7">
        <v>3.53</v>
      </c>
      <c r="AQ8" s="7">
        <v>0.55000000000000004</v>
      </c>
      <c r="AR8" s="7">
        <v>3.32</v>
      </c>
      <c r="AS8" s="7">
        <v>0.66</v>
      </c>
      <c r="AT8" s="7">
        <v>1.88</v>
      </c>
      <c r="AU8" s="7">
        <v>0.27</v>
      </c>
      <c r="AV8" s="7">
        <v>2.0299999999999998</v>
      </c>
      <c r="AW8" s="7">
        <v>0.32</v>
      </c>
      <c r="AX8" s="7">
        <v>1.58</v>
      </c>
      <c r="AY8" s="7">
        <v>7.2999999999999995E-2</v>
      </c>
      <c r="AZ8" s="7">
        <v>2.94</v>
      </c>
      <c r="BA8" s="7">
        <v>1.05</v>
      </c>
      <c r="BB8" s="7">
        <v>0.39</v>
      </c>
      <c r="BC8" s="1">
        <f t="shared" si="0"/>
        <v>5094.05</v>
      </c>
      <c r="BD8" s="1">
        <f t="shared" si="1"/>
        <v>916.44</v>
      </c>
      <c r="BE8" s="1">
        <f t="shared" si="2"/>
        <v>4.0689655172413799</v>
      </c>
      <c r="BF8" s="1">
        <f t="shared" si="3"/>
        <v>3.0860215053763436</v>
      </c>
      <c r="BG8" s="1">
        <f t="shared" si="4"/>
        <v>1.1904761904761905</v>
      </c>
      <c r="BH8" s="1">
        <f t="shared" si="5"/>
        <v>0.1513317191283293</v>
      </c>
      <c r="BI8" s="1">
        <f t="shared" si="6"/>
        <v>11.2</v>
      </c>
      <c r="BJ8" s="1">
        <f t="shared" si="7"/>
        <v>45.166666666666664</v>
      </c>
      <c r="BK8" s="1">
        <f t="shared" si="8"/>
        <v>2.3519999999999999</v>
      </c>
      <c r="BL8" s="1">
        <f t="shared" si="9"/>
        <v>0.245</v>
      </c>
      <c r="BM8" s="1">
        <f t="shared" si="10"/>
        <v>182.4</v>
      </c>
      <c r="BN8" s="1">
        <f t="shared" si="11"/>
        <v>27.602905569007266</v>
      </c>
      <c r="BO8" s="1">
        <f t="shared" si="12"/>
        <v>0.312</v>
      </c>
      <c r="BP8" s="1">
        <f t="shared" si="13"/>
        <v>2.9187279151943462</v>
      </c>
      <c r="BQ8" s="1">
        <f t="shared" si="14"/>
        <v>45.92</v>
      </c>
      <c r="BR8" s="1">
        <f t="shared" si="15"/>
        <v>0.61576354679802958</v>
      </c>
    </row>
    <row r="9" spans="1:70" ht="17.5" customHeight="1" x14ac:dyDescent="0.3">
      <c r="A9" s="1" t="s">
        <v>525</v>
      </c>
      <c r="B9" s="7" t="s">
        <v>491</v>
      </c>
      <c r="C9" s="7" t="s">
        <v>489</v>
      </c>
      <c r="D9" s="7" t="s">
        <v>480</v>
      </c>
      <c r="E9" s="1">
        <v>0.99994373321533203</v>
      </c>
      <c r="F9" s="7" t="s">
        <v>446</v>
      </c>
      <c r="G9" s="7">
        <v>49.07</v>
      </c>
      <c r="H9" s="7">
        <v>0.85</v>
      </c>
      <c r="I9" s="7">
        <v>15.82</v>
      </c>
      <c r="J9" s="7">
        <v>12.39</v>
      </c>
      <c r="K9" s="7">
        <v>0.2</v>
      </c>
      <c r="L9" s="7">
        <v>6.59</v>
      </c>
      <c r="M9" s="7">
        <v>11.08</v>
      </c>
      <c r="N9" s="7">
        <v>2.79</v>
      </c>
      <c r="O9" s="7">
        <v>1.01</v>
      </c>
      <c r="P9" s="7">
        <v>0.21</v>
      </c>
      <c r="Q9" s="7">
        <v>0.02</v>
      </c>
      <c r="R9" s="7">
        <v>99.46</v>
      </c>
      <c r="S9" s="7">
        <v>41</v>
      </c>
      <c r="T9" s="7">
        <v>402</v>
      </c>
      <c r="U9" s="7">
        <v>104</v>
      </c>
      <c r="V9" s="7">
        <v>47</v>
      </c>
      <c r="W9" s="7">
        <v>34</v>
      </c>
      <c r="X9" s="7">
        <v>93</v>
      </c>
      <c r="Y9" s="7">
        <v>80</v>
      </c>
      <c r="Z9" s="7">
        <v>22</v>
      </c>
      <c r="AA9" s="7"/>
      <c r="AB9" s="7"/>
      <c r="AC9" s="7">
        <v>16</v>
      </c>
      <c r="AD9" s="7">
        <v>570</v>
      </c>
      <c r="AE9" s="7">
        <v>21.1</v>
      </c>
      <c r="AF9" s="7">
        <v>65.7</v>
      </c>
      <c r="AG9" s="7">
        <v>1.45</v>
      </c>
      <c r="AH9" s="7">
        <v>0.13</v>
      </c>
      <c r="AI9" s="7">
        <v>245</v>
      </c>
      <c r="AJ9" s="7">
        <v>9.41</v>
      </c>
      <c r="AK9" s="7">
        <v>19.399999999999999</v>
      </c>
      <c r="AL9" s="7">
        <v>2.67</v>
      </c>
      <c r="AM9" s="7">
        <v>13.1</v>
      </c>
      <c r="AN9" s="7">
        <v>3.3</v>
      </c>
      <c r="AO9" s="7">
        <v>1.23</v>
      </c>
      <c r="AP9" s="7">
        <v>3.42</v>
      </c>
      <c r="AQ9" s="7">
        <v>0.57999999999999996</v>
      </c>
      <c r="AR9" s="7">
        <v>3.38</v>
      </c>
      <c r="AS9" s="7">
        <v>0.72</v>
      </c>
      <c r="AT9" s="7">
        <v>2.1</v>
      </c>
      <c r="AU9" s="7">
        <v>0.28999999999999998</v>
      </c>
      <c r="AV9" s="7">
        <v>2.0699999999999998</v>
      </c>
      <c r="AW9" s="7">
        <v>0.33</v>
      </c>
      <c r="AX9" s="7">
        <v>1.67</v>
      </c>
      <c r="AY9" s="7">
        <v>8.3000000000000004E-2</v>
      </c>
      <c r="AZ9" s="7">
        <v>2.6</v>
      </c>
      <c r="BA9" s="7">
        <v>1.1299999999999999</v>
      </c>
      <c r="BB9" s="7">
        <v>0.45</v>
      </c>
      <c r="BC9" s="1">
        <f t="shared" si="0"/>
        <v>5094.05</v>
      </c>
      <c r="BD9" s="1">
        <f t="shared" si="1"/>
        <v>916.44</v>
      </c>
      <c r="BE9" s="1">
        <f t="shared" si="2"/>
        <v>4.5458937198067639</v>
      </c>
      <c r="BF9" s="1">
        <f t="shared" si="3"/>
        <v>3.1137440758293837</v>
      </c>
      <c r="BG9" s="1">
        <f t="shared" si="4"/>
        <v>1.2831858407079646</v>
      </c>
      <c r="BH9" s="1">
        <f t="shared" si="5"/>
        <v>0.15409139213602549</v>
      </c>
      <c r="BI9" s="1">
        <f t="shared" si="6"/>
        <v>11.03448275862069</v>
      </c>
      <c r="BJ9" s="1">
        <f t="shared" si="7"/>
        <v>43.511450381679388</v>
      </c>
      <c r="BK9" s="1">
        <f t="shared" si="8"/>
        <v>1.7931034482758621</v>
      </c>
      <c r="BL9" s="1">
        <f t="shared" si="9"/>
        <v>0.19847328244274812</v>
      </c>
      <c r="BM9" s="1">
        <f t="shared" si="10"/>
        <v>168.9655172413793</v>
      </c>
      <c r="BN9" s="1">
        <f t="shared" si="11"/>
        <v>26.036131774707759</v>
      </c>
      <c r="BO9" s="1">
        <f t="shared" si="12"/>
        <v>0.31034482758620691</v>
      </c>
      <c r="BP9" s="1">
        <f t="shared" si="13"/>
        <v>2.8515151515151516</v>
      </c>
      <c r="BQ9" s="1">
        <f t="shared" si="14"/>
        <v>45.310344827586214</v>
      </c>
      <c r="BR9" s="1">
        <f t="shared" si="15"/>
        <v>0.70048309178743962</v>
      </c>
    </row>
    <row r="10" spans="1:70" ht="17.5" customHeight="1" x14ac:dyDescent="0.3">
      <c r="A10" s="1" t="s">
        <v>525</v>
      </c>
      <c r="B10" s="7" t="s">
        <v>492</v>
      </c>
      <c r="C10" s="7" t="s">
        <v>493</v>
      </c>
      <c r="D10" s="7" t="s">
        <v>494</v>
      </c>
      <c r="E10" s="1">
        <v>0.99973171949386597</v>
      </c>
      <c r="F10" s="7" t="s">
        <v>446</v>
      </c>
      <c r="G10" s="7">
        <v>51.17</v>
      </c>
      <c r="H10" s="7">
        <v>0.78</v>
      </c>
      <c r="I10" s="7">
        <v>15.64</v>
      </c>
      <c r="J10" s="7">
        <v>10.78</v>
      </c>
      <c r="K10" s="7">
        <v>0.2</v>
      </c>
      <c r="L10" s="7">
        <v>5.44</v>
      </c>
      <c r="M10" s="7">
        <v>10.039999999999999</v>
      </c>
      <c r="N10" s="7">
        <v>3.31</v>
      </c>
      <c r="O10" s="7">
        <v>2.31</v>
      </c>
      <c r="P10" s="7">
        <v>0.34</v>
      </c>
      <c r="Q10" s="7">
        <v>-0.11</v>
      </c>
      <c r="R10" s="7">
        <v>99.34</v>
      </c>
      <c r="S10" s="7">
        <v>29</v>
      </c>
      <c r="T10" s="7">
        <v>310</v>
      </c>
      <c r="U10" s="7">
        <v>70</v>
      </c>
      <c r="V10" s="7">
        <v>36</v>
      </c>
      <c r="W10" s="7">
        <v>28</v>
      </c>
      <c r="X10" s="7">
        <v>119</v>
      </c>
      <c r="Y10" s="7">
        <v>105</v>
      </c>
      <c r="Z10" s="7">
        <v>22</v>
      </c>
      <c r="AA10" s="7">
        <v>5.6</v>
      </c>
      <c r="AB10" s="7">
        <v>0.67</v>
      </c>
      <c r="AC10" s="7">
        <v>40.4</v>
      </c>
      <c r="AD10" s="7">
        <v>846</v>
      </c>
      <c r="AE10" s="7">
        <v>19.7</v>
      </c>
      <c r="AF10" s="7">
        <v>87.9</v>
      </c>
      <c r="AG10" s="7">
        <v>2.15</v>
      </c>
      <c r="AH10" s="7">
        <v>0.26</v>
      </c>
      <c r="AI10" s="7">
        <v>513</v>
      </c>
      <c r="AJ10" s="7">
        <v>18.7</v>
      </c>
      <c r="AK10" s="7">
        <v>37.700000000000003</v>
      </c>
      <c r="AL10" s="7">
        <v>4.8899999999999997</v>
      </c>
      <c r="AM10" s="7">
        <v>21</v>
      </c>
      <c r="AN10" s="7">
        <v>4.49</v>
      </c>
      <c r="AO10" s="7">
        <v>1.35</v>
      </c>
      <c r="AP10" s="7">
        <v>4.2699999999999996</v>
      </c>
      <c r="AQ10" s="7">
        <v>0.55000000000000004</v>
      </c>
      <c r="AR10" s="7">
        <v>3.26</v>
      </c>
      <c r="AS10" s="7">
        <v>0.64</v>
      </c>
      <c r="AT10" s="7">
        <v>1.79</v>
      </c>
      <c r="AU10" s="7">
        <v>0.28000000000000003</v>
      </c>
      <c r="AV10" s="7">
        <v>1.81</v>
      </c>
      <c r="AW10" s="7">
        <v>0.28999999999999998</v>
      </c>
      <c r="AX10" s="7">
        <v>2.62</v>
      </c>
      <c r="AY10" s="7">
        <v>0.13500000000000001</v>
      </c>
      <c r="AZ10" s="7">
        <v>8.14</v>
      </c>
      <c r="BA10" s="7">
        <v>3.39</v>
      </c>
      <c r="BB10" s="7">
        <v>1.2</v>
      </c>
      <c r="BC10" s="1">
        <f t="shared" si="0"/>
        <v>4674.5400000000009</v>
      </c>
      <c r="BD10" s="1">
        <f t="shared" si="1"/>
        <v>1483.7600000000002</v>
      </c>
      <c r="BE10" s="1">
        <f t="shared" si="2"/>
        <v>10.331491712707182</v>
      </c>
      <c r="BF10" s="1">
        <f t="shared" si="3"/>
        <v>4.4619289340101531</v>
      </c>
      <c r="BG10" s="1">
        <f t="shared" si="4"/>
        <v>0.63421828908554567</v>
      </c>
      <c r="BH10" s="1">
        <f t="shared" si="5"/>
        <v>0.11497326203208556</v>
      </c>
      <c r="BI10" s="1">
        <f t="shared" si="6"/>
        <v>18.790697674418606</v>
      </c>
      <c r="BJ10" s="1">
        <f t="shared" si="7"/>
        <v>40.285714285714285</v>
      </c>
      <c r="BK10" s="1">
        <f t="shared" si="8"/>
        <v>3.7860465116279074</v>
      </c>
      <c r="BL10" s="1">
        <f t="shared" si="9"/>
        <v>0.38761904761904764</v>
      </c>
      <c r="BM10" s="1">
        <f t="shared" si="10"/>
        <v>238.6046511627907</v>
      </c>
      <c r="BN10" s="1">
        <f t="shared" si="11"/>
        <v>27.433155080213904</v>
      </c>
      <c r="BO10" s="1">
        <f t="shared" si="12"/>
        <v>0.55813953488372092</v>
      </c>
      <c r="BP10" s="1">
        <f t="shared" si="13"/>
        <v>4.1648106904231623</v>
      </c>
      <c r="BQ10" s="1">
        <f t="shared" si="14"/>
        <v>40.883720930232563</v>
      </c>
      <c r="BR10" s="1">
        <f t="shared" si="15"/>
        <v>1.1878453038674033</v>
      </c>
    </row>
    <row r="11" spans="1:70" ht="17.5" customHeight="1" x14ac:dyDescent="0.3">
      <c r="A11" s="1" t="s">
        <v>525</v>
      </c>
      <c r="B11" s="7" t="s">
        <v>495</v>
      </c>
      <c r="C11" s="7" t="s">
        <v>493</v>
      </c>
      <c r="D11" s="7" t="s">
        <v>494</v>
      </c>
      <c r="E11" s="1">
        <v>0.99853050708770752</v>
      </c>
      <c r="F11" s="7" t="s">
        <v>446</v>
      </c>
      <c r="G11" s="7">
        <v>50.8</v>
      </c>
      <c r="H11" s="7">
        <v>0.84</v>
      </c>
      <c r="I11" s="7">
        <v>16.36</v>
      </c>
      <c r="J11" s="7">
        <v>11.54</v>
      </c>
      <c r="K11" s="7">
        <v>0.21</v>
      </c>
      <c r="L11" s="7">
        <v>4.87</v>
      </c>
      <c r="M11" s="7">
        <v>9.39</v>
      </c>
      <c r="N11" s="7">
        <v>3.39</v>
      </c>
      <c r="O11" s="7">
        <v>2.21</v>
      </c>
      <c r="P11" s="7">
        <v>0.41</v>
      </c>
      <c r="Q11" s="7">
        <v>-7.0000000000000007E-2</v>
      </c>
      <c r="R11" s="7">
        <v>99.09</v>
      </c>
      <c r="S11" s="7">
        <v>25</v>
      </c>
      <c r="T11" s="7">
        <v>337</v>
      </c>
      <c r="U11" s="7">
        <v>27</v>
      </c>
      <c r="V11" s="7">
        <v>38</v>
      </c>
      <c r="W11" s="7">
        <v>20</v>
      </c>
      <c r="X11" s="7">
        <v>371</v>
      </c>
      <c r="Y11" s="7">
        <v>109</v>
      </c>
      <c r="Z11" s="7">
        <v>23</v>
      </c>
      <c r="AA11" s="7"/>
      <c r="AB11" s="7"/>
      <c r="AC11" s="7">
        <v>28.3</v>
      </c>
      <c r="AD11" s="7">
        <v>947</v>
      </c>
      <c r="AE11" s="7">
        <v>20</v>
      </c>
      <c r="AF11" s="7">
        <v>87.1</v>
      </c>
      <c r="AG11" s="7">
        <v>2.2599999999999998</v>
      </c>
      <c r="AH11" s="7">
        <v>0.06</v>
      </c>
      <c r="AI11" s="7">
        <v>529</v>
      </c>
      <c r="AJ11" s="7">
        <v>20.100000000000001</v>
      </c>
      <c r="AK11" s="7">
        <v>40.799999999999997</v>
      </c>
      <c r="AL11" s="7">
        <v>5.25</v>
      </c>
      <c r="AM11" s="7">
        <v>23</v>
      </c>
      <c r="AN11" s="7">
        <v>5.08</v>
      </c>
      <c r="AO11" s="7">
        <v>1.37</v>
      </c>
      <c r="AP11" s="7">
        <v>4.4000000000000004</v>
      </c>
      <c r="AQ11" s="7">
        <v>0.53</v>
      </c>
      <c r="AR11" s="7">
        <v>3.33</v>
      </c>
      <c r="AS11" s="7">
        <v>0.67</v>
      </c>
      <c r="AT11" s="7">
        <v>1.87</v>
      </c>
      <c r="AU11" s="7">
        <v>0.28999999999999998</v>
      </c>
      <c r="AV11" s="7">
        <v>1.76</v>
      </c>
      <c r="AW11" s="7">
        <v>0.28000000000000003</v>
      </c>
      <c r="AX11" s="7">
        <v>2.74</v>
      </c>
      <c r="AY11" s="7">
        <v>0.14000000000000001</v>
      </c>
      <c r="AZ11" s="7">
        <v>8.7200000000000006</v>
      </c>
      <c r="BA11" s="7">
        <v>3.34</v>
      </c>
      <c r="BB11" s="7">
        <v>1.01</v>
      </c>
      <c r="BC11" s="1">
        <f t="shared" si="0"/>
        <v>5034.1200000000008</v>
      </c>
      <c r="BD11" s="1">
        <f t="shared" si="1"/>
        <v>1789.24</v>
      </c>
      <c r="BE11" s="1">
        <f t="shared" si="2"/>
        <v>11.420454545454547</v>
      </c>
      <c r="BF11" s="1">
        <f t="shared" si="3"/>
        <v>4.3549999999999995</v>
      </c>
      <c r="BG11" s="1">
        <f t="shared" si="4"/>
        <v>0.67664670658682635</v>
      </c>
      <c r="BH11" s="1">
        <f t="shared" si="5"/>
        <v>0.11243781094527361</v>
      </c>
      <c r="BI11" s="1">
        <f t="shared" si="6"/>
        <v>12.522123893805311</v>
      </c>
      <c r="BJ11" s="1">
        <f t="shared" si="7"/>
        <v>41.173913043478258</v>
      </c>
      <c r="BK11" s="1">
        <f t="shared" si="8"/>
        <v>3.8584070796460184</v>
      </c>
      <c r="BL11" s="1">
        <f t="shared" si="9"/>
        <v>0.37913043478260872</v>
      </c>
      <c r="BM11" s="1">
        <f t="shared" si="10"/>
        <v>234.07079646017701</v>
      </c>
      <c r="BN11" s="1">
        <f t="shared" si="11"/>
        <v>26.318407960199004</v>
      </c>
      <c r="BO11" s="1">
        <f t="shared" si="12"/>
        <v>0.44690265486725667</v>
      </c>
      <c r="BP11" s="1">
        <f t="shared" si="13"/>
        <v>3.9566929133858268</v>
      </c>
      <c r="BQ11" s="1">
        <f t="shared" si="14"/>
        <v>38.539823008849559</v>
      </c>
      <c r="BR11" s="1">
        <f t="shared" si="15"/>
        <v>1.2840909090909089</v>
      </c>
    </row>
    <row r="12" spans="1:70" ht="17.5" customHeight="1" x14ac:dyDescent="0.3">
      <c r="A12" s="1" t="s">
        <v>525</v>
      </c>
      <c r="B12" s="7" t="s">
        <v>496</v>
      </c>
      <c r="C12" s="7" t="s">
        <v>497</v>
      </c>
      <c r="D12" s="7" t="s">
        <v>498</v>
      </c>
      <c r="E12" s="1">
        <v>0.84500414133071899</v>
      </c>
      <c r="F12" s="7" t="s">
        <v>446</v>
      </c>
      <c r="G12" s="7">
        <v>48.55</v>
      </c>
      <c r="H12" s="7">
        <v>1.08</v>
      </c>
      <c r="I12" s="7">
        <v>13.57</v>
      </c>
      <c r="J12" s="7">
        <v>11.03</v>
      </c>
      <c r="K12" s="7">
        <v>0.19</v>
      </c>
      <c r="L12" s="7">
        <v>9.8800000000000008</v>
      </c>
      <c r="M12" s="7">
        <v>12.07</v>
      </c>
      <c r="N12" s="7">
        <v>2.2599999999999998</v>
      </c>
      <c r="O12" s="7">
        <v>1.1299999999999999</v>
      </c>
      <c r="P12" s="7">
        <v>0.28000000000000003</v>
      </c>
      <c r="Q12" s="7">
        <v>0.37</v>
      </c>
      <c r="R12" s="7">
        <v>99.86</v>
      </c>
      <c r="S12" s="7">
        <v>43</v>
      </c>
      <c r="T12" s="7">
        <v>297</v>
      </c>
      <c r="U12" s="7">
        <v>282</v>
      </c>
      <c r="V12" s="7">
        <v>42</v>
      </c>
      <c r="W12" s="7">
        <v>85</v>
      </c>
      <c r="X12" s="7">
        <v>122</v>
      </c>
      <c r="Y12" s="7">
        <v>80</v>
      </c>
      <c r="Z12" s="7">
        <v>18</v>
      </c>
      <c r="AA12" s="7"/>
      <c r="AB12" s="7"/>
      <c r="AC12" s="7">
        <v>19.899999999999999</v>
      </c>
      <c r="AD12" s="7">
        <v>499</v>
      </c>
      <c r="AE12" s="7">
        <v>23.4</v>
      </c>
      <c r="AF12" s="7">
        <v>86.3</v>
      </c>
      <c r="AG12" s="7">
        <v>5.45</v>
      </c>
      <c r="AH12" s="7">
        <v>0.02</v>
      </c>
      <c r="AI12" s="7">
        <v>279</v>
      </c>
      <c r="AJ12" s="7">
        <v>11.4</v>
      </c>
      <c r="AK12" s="7">
        <v>24.4</v>
      </c>
      <c r="AL12" s="7">
        <v>3.33</v>
      </c>
      <c r="AM12" s="7">
        <v>15.2</v>
      </c>
      <c r="AN12" s="7">
        <v>3.71</v>
      </c>
      <c r="AO12" s="7">
        <v>1.27</v>
      </c>
      <c r="AP12" s="7">
        <v>4.33</v>
      </c>
      <c r="AQ12" s="7">
        <v>0.65</v>
      </c>
      <c r="AR12" s="7">
        <v>3.7</v>
      </c>
      <c r="AS12" s="7">
        <v>0.76</v>
      </c>
      <c r="AT12" s="7">
        <v>2.2599999999999998</v>
      </c>
      <c r="AU12" s="7">
        <v>0.32</v>
      </c>
      <c r="AV12" s="7">
        <v>1.92</v>
      </c>
      <c r="AW12" s="7">
        <v>0.28999999999999998</v>
      </c>
      <c r="AX12" s="7">
        <v>2.2200000000000002</v>
      </c>
      <c r="AY12" s="7">
        <v>0.312</v>
      </c>
      <c r="AZ12" s="7">
        <v>4.4400000000000004</v>
      </c>
      <c r="BA12" s="7">
        <v>1.63</v>
      </c>
      <c r="BB12" s="7">
        <v>0.53</v>
      </c>
      <c r="BC12" s="1">
        <f t="shared" si="0"/>
        <v>6472.4400000000005</v>
      </c>
      <c r="BD12" s="1">
        <f t="shared" si="1"/>
        <v>1221.9200000000003</v>
      </c>
      <c r="BE12" s="1">
        <f t="shared" si="2"/>
        <v>5.9375</v>
      </c>
      <c r="BF12" s="1">
        <f t="shared" si="3"/>
        <v>3.6880341880341883</v>
      </c>
      <c r="BG12" s="1">
        <f t="shared" si="4"/>
        <v>3.3435582822085892</v>
      </c>
      <c r="BH12" s="1">
        <f t="shared" si="5"/>
        <v>0.47807017543859648</v>
      </c>
      <c r="BI12" s="1">
        <f t="shared" si="6"/>
        <v>3.6513761467889903</v>
      </c>
      <c r="BJ12" s="1">
        <f t="shared" si="7"/>
        <v>32.828947368421055</v>
      </c>
      <c r="BK12" s="1">
        <f t="shared" si="8"/>
        <v>0.81467889908256885</v>
      </c>
      <c r="BL12" s="1">
        <f t="shared" si="9"/>
        <v>0.29210526315789476</v>
      </c>
      <c r="BM12" s="1">
        <f t="shared" si="10"/>
        <v>51.192660550458712</v>
      </c>
      <c r="BN12" s="1">
        <f t="shared" si="11"/>
        <v>24.473684210526315</v>
      </c>
      <c r="BO12" s="1">
        <f t="shared" si="12"/>
        <v>9.7247706422018354E-2</v>
      </c>
      <c r="BP12" s="1">
        <f t="shared" si="13"/>
        <v>3.0727762803234504</v>
      </c>
      <c r="BQ12" s="1">
        <f t="shared" si="14"/>
        <v>15.834862385321101</v>
      </c>
      <c r="BR12" s="1">
        <f t="shared" si="15"/>
        <v>2.838541666666667</v>
      </c>
    </row>
    <row r="13" spans="1:70" ht="17.5" customHeight="1" x14ac:dyDescent="0.3">
      <c r="A13" s="1" t="s">
        <v>525</v>
      </c>
      <c r="B13" s="7" t="s">
        <v>499</v>
      </c>
      <c r="C13" s="7" t="s">
        <v>497</v>
      </c>
      <c r="D13" s="7" t="s">
        <v>500</v>
      </c>
      <c r="E13" s="1">
        <v>0.99737143516540527</v>
      </c>
      <c r="F13" s="7" t="s">
        <v>446</v>
      </c>
      <c r="G13" s="7">
        <v>49.37</v>
      </c>
      <c r="H13" s="7">
        <v>0.77</v>
      </c>
      <c r="I13" s="7">
        <v>14.37</v>
      </c>
      <c r="J13" s="7">
        <v>10.9</v>
      </c>
      <c r="K13" s="7">
        <v>0.19</v>
      </c>
      <c r="L13" s="7">
        <v>8.66</v>
      </c>
      <c r="M13" s="7">
        <v>11.53</v>
      </c>
      <c r="N13" s="7">
        <v>2.56</v>
      </c>
      <c r="O13" s="7">
        <v>1.4</v>
      </c>
      <c r="P13" s="7">
        <v>0.27</v>
      </c>
      <c r="Q13" s="7">
        <v>-0.17</v>
      </c>
      <c r="R13" s="7">
        <v>99.72</v>
      </c>
      <c r="S13" s="7">
        <v>37</v>
      </c>
      <c r="T13" s="7">
        <v>344</v>
      </c>
      <c r="U13" s="7">
        <v>267</v>
      </c>
      <c r="V13" s="7">
        <v>44</v>
      </c>
      <c r="W13" s="7">
        <v>112</v>
      </c>
      <c r="X13" s="7">
        <v>194</v>
      </c>
      <c r="Y13" s="7">
        <v>85</v>
      </c>
      <c r="Z13" s="7">
        <v>17</v>
      </c>
      <c r="AA13" s="7"/>
      <c r="AB13" s="7"/>
      <c r="AC13" s="7">
        <v>21.7</v>
      </c>
      <c r="AD13" s="7">
        <v>724</v>
      </c>
      <c r="AE13" s="7">
        <v>17.5</v>
      </c>
      <c r="AF13" s="7">
        <v>63.8</v>
      </c>
      <c r="AG13" s="7">
        <v>1.65</v>
      </c>
      <c r="AH13" s="7">
        <v>0.1</v>
      </c>
      <c r="AI13" s="7">
        <v>419</v>
      </c>
      <c r="AJ13" s="7">
        <v>13.7</v>
      </c>
      <c r="AK13" s="7">
        <v>28</v>
      </c>
      <c r="AL13" s="7">
        <v>3.52</v>
      </c>
      <c r="AM13" s="7">
        <v>16.600000000000001</v>
      </c>
      <c r="AN13" s="7">
        <v>3.67</v>
      </c>
      <c r="AO13" s="7">
        <v>1.07</v>
      </c>
      <c r="AP13" s="7">
        <v>3.48</v>
      </c>
      <c r="AQ13" s="7">
        <v>0.53</v>
      </c>
      <c r="AR13" s="7">
        <v>2.83</v>
      </c>
      <c r="AS13" s="7">
        <v>0.57999999999999996</v>
      </c>
      <c r="AT13" s="7">
        <v>1.61</v>
      </c>
      <c r="AU13" s="7">
        <v>0.23</v>
      </c>
      <c r="AV13" s="7">
        <v>1.6</v>
      </c>
      <c r="AW13" s="7">
        <v>0.21</v>
      </c>
      <c r="AX13" s="7">
        <v>1.57</v>
      </c>
      <c r="AY13" s="7">
        <v>8.1000000000000003E-2</v>
      </c>
      <c r="AZ13" s="7">
        <v>6.31</v>
      </c>
      <c r="BA13" s="7">
        <v>2.27</v>
      </c>
      <c r="BB13" s="7">
        <v>0.77</v>
      </c>
      <c r="BC13" s="1">
        <f t="shared" si="0"/>
        <v>4614.6100000000006</v>
      </c>
      <c r="BD13" s="1">
        <f t="shared" si="1"/>
        <v>1178.28</v>
      </c>
      <c r="BE13" s="1">
        <f t="shared" si="2"/>
        <v>8.5624999999999982</v>
      </c>
      <c r="BF13" s="1">
        <f t="shared" si="3"/>
        <v>3.6457142857142855</v>
      </c>
      <c r="BG13" s="1">
        <f t="shared" si="4"/>
        <v>0.72687224669603523</v>
      </c>
      <c r="BH13" s="1">
        <f t="shared" si="5"/>
        <v>0.12043795620437957</v>
      </c>
      <c r="BI13" s="1">
        <f t="shared" si="6"/>
        <v>13.151515151515152</v>
      </c>
      <c r="BJ13" s="1">
        <f t="shared" si="7"/>
        <v>43.614457831325296</v>
      </c>
      <c r="BK13" s="1">
        <f t="shared" si="8"/>
        <v>3.8242424242424242</v>
      </c>
      <c r="BL13" s="1">
        <f t="shared" si="9"/>
        <v>0.38012048192771081</v>
      </c>
      <c r="BM13" s="1">
        <f t="shared" si="10"/>
        <v>253.93939393939397</v>
      </c>
      <c r="BN13" s="1">
        <f t="shared" si="11"/>
        <v>30.583941605839417</v>
      </c>
      <c r="BO13" s="1">
        <f t="shared" si="12"/>
        <v>0.46666666666666673</v>
      </c>
      <c r="BP13" s="1">
        <f t="shared" si="13"/>
        <v>3.7329700272479562</v>
      </c>
      <c r="BQ13" s="1">
        <f t="shared" si="14"/>
        <v>38.666666666666664</v>
      </c>
      <c r="BR13" s="1">
        <f t="shared" si="15"/>
        <v>1.0312499999999998</v>
      </c>
    </row>
    <row r="14" spans="1:70" ht="17.5" customHeight="1" x14ac:dyDescent="0.3">
      <c r="A14" s="1" t="s">
        <v>525</v>
      </c>
      <c r="B14" s="7" t="s">
        <v>501</v>
      </c>
      <c r="C14" s="7" t="s">
        <v>497</v>
      </c>
      <c r="D14" s="7" t="s">
        <v>500</v>
      </c>
      <c r="E14" s="1">
        <v>0.99824178218841553</v>
      </c>
      <c r="F14" s="7" t="s">
        <v>446</v>
      </c>
      <c r="G14" s="7">
        <v>49.43</v>
      </c>
      <c r="H14" s="7">
        <v>0.83</v>
      </c>
      <c r="I14" s="7">
        <v>14.99</v>
      </c>
      <c r="J14" s="7">
        <v>11.42</v>
      </c>
      <c r="K14" s="7">
        <v>0.21</v>
      </c>
      <c r="L14" s="7">
        <v>7.87</v>
      </c>
      <c r="M14" s="7">
        <v>11.27</v>
      </c>
      <c r="N14" s="7">
        <v>2.48</v>
      </c>
      <c r="O14" s="7">
        <v>1.27</v>
      </c>
      <c r="P14" s="7">
        <v>0.25</v>
      </c>
      <c r="Q14" s="7">
        <v>0.88</v>
      </c>
      <c r="R14" s="7">
        <v>100.1</v>
      </c>
      <c r="S14" s="7">
        <v>33</v>
      </c>
      <c r="T14" s="7">
        <v>337</v>
      </c>
      <c r="U14" s="7">
        <v>195</v>
      </c>
      <c r="V14" s="7">
        <v>41</v>
      </c>
      <c r="W14" s="7">
        <v>72</v>
      </c>
      <c r="X14" s="7">
        <v>139</v>
      </c>
      <c r="Y14" s="7">
        <v>87</v>
      </c>
      <c r="Z14" s="7">
        <v>19</v>
      </c>
      <c r="AA14" s="7">
        <v>3.7</v>
      </c>
      <c r="AB14" s="7">
        <v>0.52</v>
      </c>
      <c r="AC14" s="7">
        <v>17.899999999999999</v>
      </c>
      <c r="AD14" s="7">
        <v>658</v>
      </c>
      <c r="AE14" s="7">
        <v>17.600000000000001</v>
      </c>
      <c r="AF14" s="7">
        <v>59.3</v>
      </c>
      <c r="AG14" s="7">
        <v>1.99</v>
      </c>
      <c r="AH14" s="7">
        <v>0.28000000000000003</v>
      </c>
      <c r="AI14" s="7">
        <v>369</v>
      </c>
      <c r="AJ14" s="7">
        <v>11.7</v>
      </c>
      <c r="AK14" s="7">
        <v>24.6</v>
      </c>
      <c r="AL14" s="7">
        <v>3.39</v>
      </c>
      <c r="AM14" s="7">
        <v>14.8</v>
      </c>
      <c r="AN14" s="7">
        <v>3.55</v>
      </c>
      <c r="AO14" s="7">
        <v>1.04</v>
      </c>
      <c r="AP14" s="7">
        <v>3.18</v>
      </c>
      <c r="AQ14" s="7">
        <v>0.44</v>
      </c>
      <c r="AR14" s="7">
        <v>2.92</v>
      </c>
      <c r="AS14" s="7">
        <v>0.62</v>
      </c>
      <c r="AT14" s="7">
        <v>1.63</v>
      </c>
      <c r="AU14" s="7">
        <v>0.28999999999999998</v>
      </c>
      <c r="AV14" s="7">
        <v>1.6</v>
      </c>
      <c r="AW14" s="7">
        <v>0.24</v>
      </c>
      <c r="AX14" s="7">
        <v>1.66</v>
      </c>
      <c r="AY14" s="7">
        <v>0.10299999999999999</v>
      </c>
      <c r="AZ14" s="7">
        <v>5.62</v>
      </c>
      <c r="BA14" s="7">
        <v>1.73</v>
      </c>
      <c r="BB14" s="7">
        <v>0.76</v>
      </c>
      <c r="BC14" s="1">
        <f t="shared" si="0"/>
        <v>4974.1900000000005</v>
      </c>
      <c r="BD14" s="1">
        <f t="shared" si="1"/>
        <v>1091</v>
      </c>
      <c r="BE14" s="1">
        <f t="shared" si="2"/>
        <v>7.3124999999999991</v>
      </c>
      <c r="BF14" s="1">
        <f t="shared" si="3"/>
        <v>3.3693181818181812</v>
      </c>
      <c r="BG14" s="1">
        <f t="shared" si="4"/>
        <v>1.1502890173410405</v>
      </c>
      <c r="BH14" s="1">
        <f t="shared" si="5"/>
        <v>0.17008547008547009</v>
      </c>
      <c r="BI14" s="1">
        <f t="shared" si="6"/>
        <v>8.9949748743718594</v>
      </c>
      <c r="BJ14" s="1">
        <f t="shared" si="7"/>
        <v>44.45945945945946</v>
      </c>
      <c r="BK14" s="1">
        <f t="shared" si="8"/>
        <v>2.8241206030150754</v>
      </c>
      <c r="BL14" s="1">
        <f t="shared" si="9"/>
        <v>0.37972972972972974</v>
      </c>
      <c r="BM14" s="1">
        <f t="shared" si="10"/>
        <v>185.42713567839195</v>
      </c>
      <c r="BN14" s="1">
        <f t="shared" si="11"/>
        <v>31.53846153846154</v>
      </c>
      <c r="BO14" s="1">
        <f t="shared" si="12"/>
        <v>0.38190954773869346</v>
      </c>
      <c r="BP14" s="1">
        <f t="shared" si="13"/>
        <v>3.295774647887324</v>
      </c>
      <c r="BQ14" s="1">
        <f t="shared" si="14"/>
        <v>29.798994974874372</v>
      </c>
      <c r="BR14" s="1">
        <f t="shared" si="15"/>
        <v>1.2437499999999999</v>
      </c>
    </row>
    <row r="15" spans="1:70" ht="17.5" customHeight="1" x14ac:dyDescent="0.3">
      <c r="A15" s="1" t="s">
        <v>525</v>
      </c>
      <c r="B15" s="7" t="s">
        <v>502</v>
      </c>
      <c r="C15" s="7" t="s">
        <v>497</v>
      </c>
      <c r="D15" s="7" t="s">
        <v>500</v>
      </c>
      <c r="E15" s="1">
        <v>0.99940681457519531</v>
      </c>
      <c r="F15" s="7" t="s">
        <v>446</v>
      </c>
      <c r="G15" s="7">
        <v>48.95</v>
      </c>
      <c r="H15" s="7">
        <v>0.71</v>
      </c>
      <c r="I15" s="7">
        <v>13.35</v>
      </c>
      <c r="J15" s="7">
        <v>11.08</v>
      </c>
      <c r="K15" s="7">
        <v>0.18</v>
      </c>
      <c r="L15" s="7">
        <v>10.59</v>
      </c>
      <c r="M15" s="7">
        <v>11.31</v>
      </c>
      <c r="N15" s="7">
        <v>2.39</v>
      </c>
      <c r="O15" s="7">
        <v>1.25</v>
      </c>
      <c r="P15" s="7">
        <v>0.21</v>
      </c>
      <c r="Q15" s="7">
        <v>0.03</v>
      </c>
      <c r="R15" s="7">
        <v>99.25</v>
      </c>
      <c r="S15" s="7">
        <v>34</v>
      </c>
      <c r="T15" s="7">
        <v>296</v>
      </c>
      <c r="U15" s="7">
        <v>368</v>
      </c>
      <c r="V15" s="7">
        <v>46</v>
      </c>
      <c r="W15" s="7">
        <v>153</v>
      </c>
      <c r="X15" s="7">
        <v>148</v>
      </c>
      <c r="Y15" s="7">
        <v>81</v>
      </c>
      <c r="Z15" s="7">
        <v>17</v>
      </c>
      <c r="AA15" s="7"/>
      <c r="AB15" s="7"/>
      <c r="AC15" s="7">
        <v>16.5</v>
      </c>
      <c r="AD15" s="7">
        <v>700</v>
      </c>
      <c r="AE15" s="7">
        <v>14.8</v>
      </c>
      <c r="AF15" s="7">
        <v>50.1</v>
      </c>
      <c r="AG15" s="7">
        <v>1.27</v>
      </c>
      <c r="AH15" s="7">
        <v>0.09</v>
      </c>
      <c r="AI15" s="7">
        <v>378</v>
      </c>
      <c r="AJ15" s="7">
        <v>11.1</v>
      </c>
      <c r="AK15" s="7">
        <v>23.6</v>
      </c>
      <c r="AL15" s="7">
        <v>3.08</v>
      </c>
      <c r="AM15" s="7">
        <v>14.8</v>
      </c>
      <c r="AN15" s="7">
        <v>2.92</v>
      </c>
      <c r="AO15" s="7">
        <v>0.89</v>
      </c>
      <c r="AP15" s="7">
        <v>2.81</v>
      </c>
      <c r="AQ15" s="7">
        <v>0.44</v>
      </c>
      <c r="AR15" s="7">
        <v>2.44</v>
      </c>
      <c r="AS15" s="7">
        <v>0.52</v>
      </c>
      <c r="AT15" s="7">
        <v>1.43</v>
      </c>
      <c r="AU15" s="7">
        <v>0.22</v>
      </c>
      <c r="AV15" s="7">
        <v>1.32</v>
      </c>
      <c r="AW15" s="7">
        <v>0.18</v>
      </c>
      <c r="AX15" s="7">
        <v>1.52</v>
      </c>
      <c r="AY15" s="7">
        <v>7.6999999999999999E-2</v>
      </c>
      <c r="AZ15" s="7">
        <v>9.89</v>
      </c>
      <c r="BA15" s="7">
        <v>1.87</v>
      </c>
      <c r="BB15" s="7">
        <v>0.61</v>
      </c>
      <c r="BC15" s="1">
        <f t="shared" si="0"/>
        <v>4255.0300000000007</v>
      </c>
      <c r="BD15" s="1">
        <f t="shared" si="1"/>
        <v>916.44</v>
      </c>
      <c r="BE15" s="1">
        <f t="shared" si="2"/>
        <v>8.4090909090909083</v>
      </c>
      <c r="BF15" s="1">
        <f t="shared" si="3"/>
        <v>3.3851351351351351</v>
      </c>
      <c r="BG15" s="1">
        <f t="shared" si="4"/>
        <v>0.67914438502673791</v>
      </c>
      <c r="BH15" s="1">
        <f t="shared" si="5"/>
        <v>0.11441441441441443</v>
      </c>
      <c r="BI15" s="1">
        <f t="shared" si="6"/>
        <v>12.992125984251969</v>
      </c>
      <c r="BJ15" s="1">
        <f t="shared" si="7"/>
        <v>47.297297297297298</v>
      </c>
      <c r="BK15" s="1">
        <f t="shared" si="8"/>
        <v>7.78740157480315</v>
      </c>
      <c r="BL15" s="1">
        <f t="shared" si="9"/>
        <v>0.66824324324324325</v>
      </c>
      <c r="BM15" s="1">
        <f t="shared" si="10"/>
        <v>297.63779527559052</v>
      </c>
      <c r="BN15" s="1">
        <f t="shared" si="11"/>
        <v>34.054054054054056</v>
      </c>
      <c r="BO15" s="1">
        <f t="shared" si="12"/>
        <v>0.48031496062992124</v>
      </c>
      <c r="BP15" s="1">
        <f t="shared" si="13"/>
        <v>3.8013698630136985</v>
      </c>
      <c r="BQ15" s="1">
        <f t="shared" si="14"/>
        <v>39.448818897637793</v>
      </c>
      <c r="BR15" s="1">
        <f t="shared" si="15"/>
        <v>0.96212121212121204</v>
      </c>
    </row>
    <row r="16" spans="1:70" ht="17.5" customHeight="1" x14ac:dyDescent="0.3">
      <c r="A16" s="1" t="s">
        <v>525</v>
      </c>
      <c r="B16" s="7" t="s">
        <v>503</v>
      </c>
      <c r="C16" s="7" t="s">
        <v>497</v>
      </c>
      <c r="D16" s="7" t="s">
        <v>498</v>
      </c>
      <c r="E16" s="1">
        <v>0.23720663785934451</v>
      </c>
      <c r="F16" s="7" t="s">
        <v>445</v>
      </c>
      <c r="G16" s="7">
        <v>50.78</v>
      </c>
      <c r="H16" s="7">
        <v>1.19</v>
      </c>
      <c r="I16" s="7">
        <v>15.57</v>
      </c>
      <c r="J16" s="7">
        <v>10.82</v>
      </c>
      <c r="K16" s="7">
        <v>0.2</v>
      </c>
      <c r="L16" s="7">
        <v>6.35</v>
      </c>
      <c r="M16" s="7">
        <v>10.56</v>
      </c>
      <c r="N16" s="7">
        <v>3.03</v>
      </c>
      <c r="O16" s="7">
        <v>1.23</v>
      </c>
      <c r="P16" s="7">
        <v>0.3</v>
      </c>
      <c r="Q16" s="7">
        <v>0.21</v>
      </c>
      <c r="R16" s="7">
        <v>99.5</v>
      </c>
      <c r="S16" s="7">
        <v>35</v>
      </c>
      <c r="T16" s="7">
        <v>338</v>
      </c>
      <c r="U16" s="7">
        <v>129</v>
      </c>
      <c r="V16" s="7">
        <v>35</v>
      </c>
      <c r="W16" s="7">
        <v>51</v>
      </c>
      <c r="X16" s="7">
        <v>210</v>
      </c>
      <c r="Y16" s="7">
        <v>99</v>
      </c>
      <c r="Z16" s="7">
        <v>20</v>
      </c>
      <c r="AA16" s="7"/>
      <c r="AB16" s="7"/>
      <c r="AC16" s="7">
        <v>24.3</v>
      </c>
      <c r="AD16" s="7">
        <v>569</v>
      </c>
      <c r="AE16" s="7">
        <v>30.4</v>
      </c>
      <c r="AF16" s="7">
        <v>122</v>
      </c>
      <c r="AG16" s="7">
        <v>7.79</v>
      </c>
      <c r="AH16" s="7">
        <v>0.35</v>
      </c>
      <c r="AI16" s="7">
        <v>353</v>
      </c>
      <c r="AJ16" s="7">
        <v>15.2</v>
      </c>
      <c r="AK16" s="7">
        <v>33.1</v>
      </c>
      <c r="AL16" s="7">
        <v>4.32</v>
      </c>
      <c r="AM16" s="7">
        <v>21</v>
      </c>
      <c r="AN16" s="7">
        <v>4.8499999999999996</v>
      </c>
      <c r="AO16" s="7">
        <v>1.49</v>
      </c>
      <c r="AP16" s="7">
        <v>4.95</v>
      </c>
      <c r="AQ16" s="7">
        <v>0.79</v>
      </c>
      <c r="AR16" s="7">
        <v>4.95</v>
      </c>
      <c r="AS16" s="7">
        <v>1.05</v>
      </c>
      <c r="AT16" s="7">
        <v>2.87</v>
      </c>
      <c r="AU16" s="7">
        <v>0.43</v>
      </c>
      <c r="AV16" s="7">
        <v>2.84</v>
      </c>
      <c r="AW16" s="7">
        <v>0.35</v>
      </c>
      <c r="AX16" s="7">
        <v>3.1</v>
      </c>
      <c r="AY16" s="7">
        <v>0.42899999999999999</v>
      </c>
      <c r="AZ16" s="7">
        <v>3.29</v>
      </c>
      <c r="BA16" s="7">
        <v>2.09</v>
      </c>
      <c r="BB16" s="7">
        <v>0.74</v>
      </c>
      <c r="BC16" s="1">
        <f t="shared" si="0"/>
        <v>7131.670000000001</v>
      </c>
      <c r="BD16" s="1">
        <f t="shared" si="1"/>
        <v>1309.2</v>
      </c>
      <c r="BE16" s="1">
        <f t="shared" si="2"/>
        <v>5.352112676056338</v>
      </c>
      <c r="BF16" s="1">
        <f t="shared" si="3"/>
        <v>4.0131578947368425</v>
      </c>
      <c r="BG16" s="1">
        <f t="shared" si="4"/>
        <v>3.7272727272727275</v>
      </c>
      <c r="BH16" s="1">
        <f t="shared" si="5"/>
        <v>0.51250000000000007</v>
      </c>
      <c r="BI16" s="1">
        <f t="shared" si="6"/>
        <v>3.1193838254172017</v>
      </c>
      <c r="BJ16" s="1">
        <f t="shared" si="7"/>
        <v>27.095238095238095</v>
      </c>
      <c r="BK16" s="1">
        <f t="shared" si="8"/>
        <v>0.42233632862644416</v>
      </c>
      <c r="BL16" s="1">
        <f t="shared" si="9"/>
        <v>0.15666666666666668</v>
      </c>
      <c r="BM16" s="1">
        <f t="shared" si="10"/>
        <v>45.314505776636715</v>
      </c>
      <c r="BN16" s="1">
        <f t="shared" si="11"/>
        <v>23.223684210526319</v>
      </c>
      <c r="BO16" s="1">
        <f t="shared" si="12"/>
        <v>9.4993581514762518E-2</v>
      </c>
      <c r="BP16" s="1">
        <f t="shared" si="13"/>
        <v>3.134020618556701</v>
      </c>
      <c r="BQ16" s="1">
        <f t="shared" si="14"/>
        <v>15.661103979460847</v>
      </c>
      <c r="BR16" s="1">
        <f t="shared" si="15"/>
        <v>2.7429577464788735</v>
      </c>
    </row>
    <row r="17" spans="1:70" ht="17.5" customHeight="1" x14ac:dyDescent="0.3">
      <c r="A17" s="1" t="s">
        <v>525</v>
      </c>
      <c r="B17" s="7" t="s">
        <v>504</v>
      </c>
      <c r="C17" s="7" t="s">
        <v>505</v>
      </c>
      <c r="D17" s="7" t="s">
        <v>500</v>
      </c>
      <c r="E17" s="1">
        <v>0.99992740154266357</v>
      </c>
      <c r="F17" s="7" t="s">
        <v>446</v>
      </c>
      <c r="G17" s="7">
        <v>50.23</v>
      </c>
      <c r="H17" s="7">
        <v>0.63</v>
      </c>
      <c r="I17" s="7">
        <v>17.920000000000002</v>
      </c>
      <c r="J17" s="7">
        <v>10.92</v>
      </c>
      <c r="K17" s="7">
        <v>0.19</v>
      </c>
      <c r="L17" s="7">
        <v>5.01</v>
      </c>
      <c r="M17" s="7">
        <v>11.33</v>
      </c>
      <c r="N17" s="7">
        <v>2.64</v>
      </c>
      <c r="O17" s="7">
        <v>1</v>
      </c>
      <c r="P17" s="7">
        <v>0.14000000000000001</v>
      </c>
      <c r="Q17" s="7">
        <v>0.12</v>
      </c>
      <c r="R17" s="7">
        <v>100.07</v>
      </c>
      <c r="S17" s="7">
        <v>37</v>
      </c>
      <c r="T17" s="7">
        <v>357</v>
      </c>
      <c r="U17" s="7">
        <v>31</v>
      </c>
      <c r="V17" s="7">
        <v>37</v>
      </c>
      <c r="W17" s="7">
        <v>22</v>
      </c>
      <c r="X17" s="7">
        <v>166</v>
      </c>
      <c r="Y17" s="7">
        <v>88</v>
      </c>
      <c r="Z17" s="7">
        <v>20</v>
      </c>
      <c r="AA17" s="7"/>
      <c r="AB17" s="7"/>
      <c r="AC17" s="7">
        <v>15.6</v>
      </c>
      <c r="AD17" s="7">
        <v>543</v>
      </c>
      <c r="AE17" s="7">
        <v>16.100000000000001</v>
      </c>
      <c r="AF17" s="7">
        <v>38.700000000000003</v>
      </c>
      <c r="AG17" s="7">
        <v>0.96</v>
      </c>
      <c r="AH17" s="7">
        <v>0.19</v>
      </c>
      <c r="AI17" s="7">
        <v>251</v>
      </c>
      <c r="AJ17" s="7">
        <v>6.76</v>
      </c>
      <c r="AK17" s="7">
        <v>14.1</v>
      </c>
      <c r="AL17" s="7">
        <v>1.99</v>
      </c>
      <c r="AM17" s="7">
        <v>8.81</v>
      </c>
      <c r="AN17" s="7">
        <v>2.59</v>
      </c>
      <c r="AO17" s="7">
        <v>0.75</v>
      </c>
      <c r="AP17" s="7">
        <v>2.38</v>
      </c>
      <c r="AQ17" s="7">
        <v>0.38</v>
      </c>
      <c r="AR17" s="7">
        <v>2.54</v>
      </c>
      <c r="AS17" s="7">
        <v>0.56000000000000005</v>
      </c>
      <c r="AT17" s="7">
        <v>1.62</v>
      </c>
      <c r="AU17" s="7">
        <v>0.26</v>
      </c>
      <c r="AV17" s="7">
        <v>1.52</v>
      </c>
      <c r="AW17" s="7">
        <v>0.26</v>
      </c>
      <c r="AX17" s="7">
        <v>1.07</v>
      </c>
      <c r="AY17" s="7">
        <v>4.1000000000000002E-2</v>
      </c>
      <c r="AZ17" s="7">
        <v>3.06</v>
      </c>
      <c r="BA17" s="7">
        <v>1.03</v>
      </c>
      <c r="BB17" s="7">
        <v>0.32</v>
      </c>
      <c r="BC17" s="1">
        <f t="shared" si="0"/>
        <v>3775.59</v>
      </c>
      <c r="BD17" s="1">
        <f t="shared" si="1"/>
        <v>610.96000000000015</v>
      </c>
      <c r="BE17" s="1">
        <f t="shared" si="2"/>
        <v>4.447368421052631</v>
      </c>
      <c r="BF17" s="1">
        <f t="shared" si="3"/>
        <v>2.4037267080745339</v>
      </c>
      <c r="BG17" s="1">
        <f t="shared" si="4"/>
        <v>0.93203883495145623</v>
      </c>
      <c r="BH17" s="1">
        <f t="shared" si="5"/>
        <v>0.14201183431952663</v>
      </c>
      <c r="BI17" s="1">
        <f t="shared" si="6"/>
        <v>16.25</v>
      </c>
      <c r="BJ17" s="1">
        <f t="shared" si="7"/>
        <v>61.634506242905786</v>
      </c>
      <c r="BK17" s="1">
        <f t="shared" si="8"/>
        <v>3.1875</v>
      </c>
      <c r="BL17" s="1">
        <f t="shared" si="9"/>
        <v>0.34733257661748013</v>
      </c>
      <c r="BM17" s="1">
        <f t="shared" si="10"/>
        <v>261.45833333333337</v>
      </c>
      <c r="BN17" s="1">
        <f t="shared" si="11"/>
        <v>37.130177514792898</v>
      </c>
      <c r="BO17" s="1">
        <f t="shared" si="12"/>
        <v>0.33333333333333337</v>
      </c>
      <c r="BP17" s="1">
        <f t="shared" si="13"/>
        <v>2.6100386100386102</v>
      </c>
      <c r="BQ17" s="1">
        <f t="shared" si="14"/>
        <v>40.312500000000007</v>
      </c>
      <c r="BR17" s="1">
        <f t="shared" si="15"/>
        <v>0.63157894736842102</v>
      </c>
    </row>
    <row r="18" spans="1:70" ht="17.5" customHeight="1" x14ac:dyDescent="0.3">
      <c r="A18" s="1" t="s">
        <v>525</v>
      </c>
      <c r="B18" s="7" t="s">
        <v>506</v>
      </c>
      <c r="C18" s="7" t="s">
        <v>505</v>
      </c>
      <c r="D18" s="7" t="s">
        <v>500</v>
      </c>
      <c r="E18" s="1">
        <v>0.96962648630142212</v>
      </c>
      <c r="F18" s="7" t="s">
        <v>446</v>
      </c>
      <c r="G18" s="7">
        <v>51.06</v>
      </c>
      <c r="H18" s="7">
        <v>1.04</v>
      </c>
      <c r="I18" s="7">
        <v>15.49</v>
      </c>
      <c r="J18" s="7">
        <v>12.4</v>
      </c>
      <c r="K18" s="7">
        <v>0.21</v>
      </c>
      <c r="L18" s="7">
        <v>5.09</v>
      </c>
      <c r="M18" s="7">
        <v>9.31</v>
      </c>
      <c r="N18" s="7">
        <v>3.01</v>
      </c>
      <c r="O18" s="7">
        <v>2.0499999999999998</v>
      </c>
      <c r="P18" s="7">
        <v>0.36</v>
      </c>
      <c r="Q18" s="7">
        <v>-0.2</v>
      </c>
      <c r="R18" s="7">
        <v>98.78</v>
      </c>
      <c r="S18" s="7">
        <v>34</v>
      </c>
      <c r="T18" s="7">
        <v>383</v>
      </c>
      <c r="U18" s="7">
        <v>11</v>
      </c>
      <c r="V18" s="7"/>
      <c r="W18" s="7">
        <v>32</v>
      </c>
      <c r="X18" s="7">
        <v>197</v>
      </c>
      <c r="Y18" s="7">
        <v>108</v>
      </c>
      <c r="Z18" s="7">
        <v>24</v>
      </c>
      <c r="AA18" s="7"/>
      <c r="AB18" s="7"/>
      <c r="AC18" s="7">
        <v>33.4</v>
      </c>
      <c r="AD18" s="7">
        <v>610</v>
      </c>
      <c r="AE18" s="7">
        <v>20.9</v>
      </c>
      <c r="AF18" s="7">
        <v>92.2</v>
      </c>
      <c r="AG18" s="7">
        <v>3.28</v>
      </c>
      <c r="AH18" s="7">
        <v>0.78</v>
      </c>
      <c r="AI18" s="7">
        <v>424</v>
      </c>
      <c r="AJ18" s="7">
        <v>11.4</v>
      </c>
      <c r="AK18" s="7">
        <v>25.7</v>
      </c>
      <c r="AL18" s="7">
        <v>3.54</v>
      </c>
      <c r="AM18" s="7">
        <v>16.100000000000001</v>
      </c>
      <c r="AN18" s="7">
        <v>3.85</v>
      </c>
      <c r="AO18" s="7">
        <v>1.3</v>
      </c>
      <c r="AP18" s="7">
        <v>3.8</v>
      </c>
      <c r="AQ18" s="7">
        <v>0.6</v>
      </c>
      <c r="AR18" s="7">
        <v>3.5</v>
      </c>
      <c r="AS18" s="7">
        <v>0.67</v>
      </c>
      <c r="AT18" s="7">
        <v>1.9</v>
      </c>
      <c r="AU18" s="7">
        <v>0.3</v>
      </c>
      <c r="AV18" s="7">
        <v>1.76</v>
      </c>
      <c r="AW18" s="7">
        <v>0.38</v>
      </c>
      <c r="AX18" s="7">
        <v>2.48</v>
      </c>
      <c r="AY18" s="7">
        <v>0.21</v>
      </c>
      <c r="AZ18" s="7">
        <v>6.33</v>
      </c>
      <c r="BA18" s="7">
        <v>1.54</v>
      </c>
      <c r="BB18" s="7">
        <v>0.59</v>
      </c>
      <c r="BC18" s="1">
        <f t="shared" si="0"/>
        <v>6232.72</v>
      </c>
      <c r="BD18" s="1">
        <f t="shared" si="1"/>
        <v>1571.04</v>
      </c>
      <c r="BE18" s="1">
        <f t="shared" si="2"/>
        <v>6.4772727272727275</v>
      </c>
      <c r="BF18" s="1">
        <f t="shared" si="3"/>
        <v>4.4114832535885169</v>
      </c>
      <c r="BG18" s="1">
        <f t="shared" si="4"/>
        <v>2.1298701298701297</v>
      </c>
      <c r="BH18" s="1">
        <f t="shared" si="5"/>
        <v>0.28771929824561399</v>
      </c>
      <c r="BI18" s="1">
        <f t="shared" si="6"/>
        <v>10.182926829268293</v>
      </c>
      <c r="BJ18" s="1">
        <f t="shared" si="7"/>
        <v>37.888198757763973</v>
      </c>
      <c r="BK18" s="1">
        <f t="shared" si="8"/>
        <v>1.9298780487804879</v>
      </c>
      <c r="BL18" s="1">
        <f t="shared" si="9"/>
        <v>0.39316770186335398</v>
      </c>
      <c r="BM18" s="1">
        <f t="shared" si="10"/>
        <v>129.26829268292684</v>
      </c>
      <c r="BN18" s="1">
        <f t="shared" si="11"/>
        <v>37.192982456140349</v>
      </c>
      <c r="BO18" s="1">
        <f t="shared" si="12"/>
        <v>0.1798780487804878</v>
      </c>
      <c r="BP18" s="1">
        <f t="shared" si="13"/>
        <v>2.9610389610389611</v>
      </c>
      <c r="BQ18" s="1">
        <f t="shared" si="14"/>
        <v>28.109756097560979</v>
      </c>
      <c r="BR18" s="1">
        <f t="shared" si="15"/>
        <v>1.8636363636363635</v>
      </c>
    </row>
    <row r="19" spans="1:70" ht="17.5" customHeight="1" x14ac:dyDescent="0.3">
      <c r="A19" s="1" t="s">
        <v>525</v>
      </c>
      <c r="B19" s="7" t="s">
        <v>507</v>
      </c>
      <c r="C19" s="7" t="s">
        <v>505</v>
      </c>
      <c r="D19" s="7" t="s">
        <v>500</v>
      </c>
      <c r="E19" s="1">
        <v>0.99286782741546631</v>
      </c>
      <c r="F19" s="7" t="s">
        <v>446</v>
      </c>
      <c r="G19" s="7">
        <v>51.74</v>
      </c>
      <c r="H19" s="7">
        <v>0.96</v>
      </c>
      <c r="I19" s="7">
        <v>16.7</v>
      </c>
      <c r="J19" s="7">
        <v>11.42</v>
      </c>
      <c r="K19" s="7">
        <v>0.19</v>
      </c>
      <c r="L19" s="7">
        <v>4.5599999999999996</v>
      </c>
      <c r="M19" s="7">
        <v>8.84</v>
      </c>
      <c r="N19" s="7">
        <v>3.04</v>
      </c>
      <c r="O19" s="7">
        <v>2.1800000000000002</v>
      </c>
      <c r="P19" s="7">
        <v>0.39</v>
      </c>
      <c r="Q19" s="7">
        <v>-0.26</v>
      </c>
      <c r="R19" s="7">
        <v>99.12</v>
      </c>
      <c r="S19" s="7">
        <v>26</v>
      </c>
      <c r="T19" s="7">
        <v>355</v>
      </c>
      <c r="U19" s="7">
        <v>8</v>
      </c>
      <c r="V19" s="7">
        <v>35</v>
      </c>
      <c r="W19" s="7">
        <v>19</v>
      </c>
      <c r="X19" s="7">
        <v>172</v>
      </c>
      <c r="Y19" s="7">
        <v>106</v>
      </c>
      <c r="Z19" s="7">
        <v>22</v>
      </c>
      <c r="AA19" s="7"/>
      <c r="AB19" s="7"/>
      <c r="AC19" s="7">
        <v>43.7</v>
      </c>
      <c r="AD19" s="7">
        <v>671</v>
      </c>
      <c r="AE19" s="7">
        <v>19.399999999999999</v>
      </c>
      <c r="AF19" s="7">
        <v>90.9</v>
      </c>
      <c r="AG19" s="7">
        <v>3.6</v>
      </c>
      <c r="AH19" s="7">
        <v>1.1200000000000001</v>
      </c>
      <c r="AI19" s="7">
        <v>441</v>
      </c>
      <c r="AJ19" s="7">
        <v>12.8</v>
      </c>
      <c r="AK19" s="7">
        <v>27.6</v>
      </c>
      <c r="AL19" s="7">
        <v>3.55</v>
      </c>
      <c r="AM19" s="7">
        <v>15.9</v>
      </c>
      <c r="AN19" s="7">
        <v>3.89</v>
      </c>
      <c r="AO19" s="7">
        <v>1.1499999999999999</v>
      </c>
      <c r="AP19" s="7">
        <v>4.6900000000000004</v>
      </c>
      <c r="AQ19" s="7">
        <v>0.56000000000000005</v>
      </c>
      <c r="AR19" s="7">
        <v>3.29</v>
      </c>
      <c r="AS19" s="7">
        <v>0.63</v>
      </c>
      <c r="AT19" s="7">
        <v>1.91</v>
      </c>
      <c r="AU19" s="7">
        <v>0.28000000000000003</v>
      </c>
      <c r="AV19" s="7">
        <v>1.76</v>
      </c>
      <c r="AW19" s="7">
        <v>0.31</v>
      </c>
      <c r="AX19" s="7">
        <v>2.4700000000000002</v>
      </c>
      <c r="AY19" s="7">
        <v>0.23599999999999999</v>
      </c>
      <c r="AZ19" s="7">
        <v>7.61</v>
      </c>
      <c r="BA19" s="7">
        <v>1.95</v>
      </c>
      <c r="BB19" s="7">
        <v>0.66</v>
      </c>
      <c r="BC19" s="1">
        <f t="shared" si="0"/>
        <v>5753.2800000000007</v>
      </c>
      <c r="BD19" s="1">
        <f t="shared" si="1"/>
        <v>1701.96</v>
      </c>
      <c r="BE19" s="1">
        <f t="shared" si="2"/>
        <v>7.2727272727272734</v>
      </c>
      <c r="BF19" s="1">
        <f t="shared" si="3"/>
        <v>4.6855670103092786</v>
      </c>
      <c r="BG19" s="1">
        <f t="shared" si="4"/>
        <v>1.8461538461538463</v>
      </c>
      <c r="BH19" s="1">
        <f t="shared" si="5"/>
        <v>0.28125</v>
      </c>
      <c r="BI19" s="1">
        <f t="shared" si="6"/>
        <v>12.138888888888889</v>
      </c>
      <c r="BJ19" s="1">
        <f t="shared" si="7"/>
        <v>42.20125786163522</v>
      </c>
      <c r="BK19" s="1">
        <f t="shared" si="8"/>
        <v>2.1138888888888889</v>
      </c>
      <c r="BL19" s="1">
        <f t="shared" si="9"/>
        <v>0.47861635220125787</v>
      </c>
      <c r="BM19" s="1">
        <f t="shared" si="10"/>
        <v>122.5</v>
      </c>
      <c r="BN19" s="1">
        <f t="shared" si="11"/>
        <v>34.453125</v>
      </c>
      <c r="BO19" s="1">
        <f t="shared" si="12"/>
        <v>0.18333333333333335</v>
      </c>
      <c r="BP19" s="1">
        <f t="shared" si="13"/>
        <v>3.2904884318766068</v>
      </c>
      <c r="BQ19" s="1">
        <f t="shared" si="14"/>
        <v>25.25</v>
      </c>
      <c r="BR19" s="1">
        <f t="shared" si="15"/>
        <v>2.0454545454545454</v>
      </c>
    </row>
    <row r="20" spans="1:70" ht="17.5" customHeight="1" x14ac:dyDescent="0.3">
      <c r="A20" s="1" t="s">
        <v>525</v>
      </c>
      <c r="B20" s="7" t="s">
        <v>508</v>
      </c>
      <c r="C20" s="7" t="s">
        <v>509</v>
      </c>
      <c r="D20" s="7" t="s">
        <v>510</v>
      </c>
      <c r="E20" s="1">
        <v>0.99819332361221313</v>
      </c>
      <c r="F20" s="7" t="s">
        <v>446</v>
      </c>
      <c r="G20" s="7">
        <v>48.81</v>
      </c>
      <c r="H20" s="7">
        <v>1.08</v>
      </c>
      <c r="I20" s="7">
        <v>17.899999999999999</v>
      </c>
      <c r="J20" s="7">
        <v>12.45</v>
      </c>
      <c r="K20" s="7">
        <v>0.2</v>
      </c>
      <c r="L20" s="7">
        <v>5.38</v>
      </c>
      <c r="M20" s="7">
        <v>10.77</v>
      </c>
      <c r="N20" s="7">
        <v>2.79</v>
      </c>
      <c r="O20" s="7">
        <v>0.48</v>
      </c>
      <c r="P20" s="7">
        <v>0.16</v>
      </c>
      <c r="Q20" s="7">
        <v>-0.46</v>
      </c>
      <c r="R20" s="7">
        <v>99.2</v>
      </c>
      <c r="S20" s="7">
        <v>36</v>
      </c>
      <c r="T20" s="7">
        <v>385</v>
      </c>
      <c r="U20" s="7">
        <v>27</v>
      </c>
      <c r="V20" s="7">
        <v>38</v>
      </c>
      <c r="W20" s="7">
        <v>18</v>
      </c>
      <c r="X20" s="7">
        <v>122</v>
      </c>
      <c r="Y20" s="7">
        <v>93</v>
      </c>
      <c r="Z20" s="7">
        <v>19</v>
      </c>
      <c r="AA20" s="7"/>
      <c r="AB20" s="7"/>
      <c r="AC20" s="7">
        <v>2.8</v>
      </c>
      <c r="AD20" s="7">
        <v>364</v>
      </c>
      <c r="AE20" s="7">
        <v>25.3</v>
      </c>
      <c r="AF20" s="7">
        <v>55.3</v>
      </c>
      <c r="AG20" s="7">
        <v>1.32</v>
      </c>
      <c r="AH20" s="7">
        <v>0.09</v>
      </c>
      <c r="AI20" s="7">
        <v>161</v>
      </c>
      <c r="AJ20" s="7">
        <v>3.99</v>
      </c>
      <c r="AK20" s="7">
        <v>10.7</v>
      </c>
      <c r="AL20" s="7">
        <v>1.73</v>
      </c>
      <c r="AM20" s="7">
        <v>8.92</v>
      </c>
      <c r="AN20" s="7">
        <v>2.77</v>
      </c>
      <c r="AO20" s="7">
        <v>1</v>
      </c>
      <c r="AP20" s="7">
        <v>3.53</v>
      </c>
      <c r="AQ20" s="7">
        <v>0.61</v>
      </c>
      <c r="AR20" s="7">
        <v>3.9</v>
      </c>
      <c r="AS20" s="7">
        <v>0.87</v>
      </c>
      <c r="AT20" s="7">
        <v>2.46</v>
      </c>
      <c r="AU20" s="7">
        <v>0.39</v>
      </c>
      <c r="AV20" s="7">
        <v>2.4700000000000002</v>
      </c>
      <c r="AW20" s="7">
        <v>0.37</v>
      </c>
      <c r="AX20" s="7">
        <v>1.64</v>
      </c>
      <c r="AY20" s="7">
        <v>9.2999999999999999E-2</v>
      </c>
      <c r="AZ20" s="7">
        <v>4.47</v>
      </c>
      <c r="BA20" s="7">
        <v>0.43</v>
      </c>
      <c r="BB20" s="7">
        <v>0.15</v>
      </c>
      <c r="BC20" s="1">
        <f t="shared" si="0"/>
        <v>6472.4400000000005</v>
      </c>
      <c r="BD20" s="1">
        <f t="shared" si="1"/>
        <v>698.24</v>
      </c>
      <c r="BE20" s="1">
        <f t="shared" si="2"/>
        <v>1.6153846153846154</v>
      </c>
      <c r="BF20" s="1">
        <f t="shared" si="3"/>
        <v>2.1857707509881421</v>
      </c>
      <c r="BG20" s="1">
        <f t="shared" si="4"/>
        <v>3.0697674418604652</v>
      </c>
      <c r="BH20" s="1">
        <f t="shared" si="5"/>
        <v>0.33082706766917291</v>
      </c>
      <c r="BI20" s="1">
        <f t="shared" si="6"/>
        <v>2.1212121212121211</v>
      </c>
      <c r="BJ20" s="1">
        <f t="shared" si="7"/>
        <v>40.80717488789238</v>
      </c>
      <c r="BK20" s="1">
        <f t="shared" si="8"/>
        <v>3.3863636363636358</v>
      </c>
      <c r="BL20" s="1">
        <f t="shared" si="9"/>
        <v>0.5011210762331838</v>
      </c>
      <c r="BM20" s="1">
        <f t="shared" si="10"/>
        <v>121.96969696969697</v>
      </c>
      <c r="BN20" s="1">
        <f t="shared" si="11"/>
        <v>40.350877192982452</v>
      </c>
      <c r="BO20" s="1">
        <f t="shared" si="12"/>
        <v>0.11363636363636363</v>
      </c>
      <c r="BP20" s="1">
        <f t="shared" si="13"/>
        <v>1.4404332129963899</v>
      </c>
      <c r="BQ20" s="1">
        <f t="shared" si="14"/>
        <v>41.893939393939391</v>
      </c>
      <c r="BR20" s="1">
        <f t="shared" si="15"/>
        <v>0.53441295546558698</v>
      </c>
    </row>
    <row r="21" spans="1:70" ht="17.5" customHeight="1" x14ac:dyDescent="0.3">
      <c r="A21" s="1" t="s">
        <v>525</v>
      </c>
      <c r="B21" s="7" t="s">
        <v>511</v>
      </c>
      <c r="C21" s="7" t="s">
        <v>509</v>
      </c>
      <c r="D21" s="7" t="s">
        <v>510</v>
      </c>
      <c r="E21" s="1">
        <v>0.99838197231292725</v>
      </c>
      <c r="F21" s="7" t="s">
        <v>446</v>
      </c>
      <c r="G21" s="7">
        <v>49.06</v>
      </c>
      <c r="H21" s="7">
        <v>0.92</v>
      </c>
      <c r="I21" s="7">
        <v>17.399999999999999</v>
      </c>
      <c r="J21" s="7">
        <v>11.65</v>
      </c>
      <c r="K21" s="7">
        <v>0.19</v>
      </c>
      <c r="L21" s="7">
        <v>6.47</v>
      </c>
      <c r="M21" s="7">
        <v>10.8</v>
      </c>
      <c r="N21" s="7">
        <v>2.76</v>
      </c>
      <c r="O21" s="7">
        <v>0.6</v>
      </c>
      <c r="P21" s="7">
        <v>0.16</v>
      </c>
      <c r="Q21" s="7">
        <v>-0.49</v>
      </c>
      <c r="R21" s="7">
        <v>99.35</v>
      </c>
      <c r="S21" s="7">
        <v>35</v>
      </c>
      <c r="T21" s="7">
        <v>342</v>
      </c>
      <c r="U21" s="7">
        <v>58</v>
      </c>
      <c r="V21" s="7">
        <v>41</v>
      </c>
      <c r="W21" s="7">
        <v>33</v>
      </c>
      <c r="X21" s="7">
        <v>146</v>
      </c>
      <c r="Y21" s="7">
        <v>83</v>
      </c>
      <c r="Z21" s="7">
        <v>19</v>
      </c>
      <c r="AA21" s="7"/>
      <c r="AB21" s="7"/>
      <c r="AC21" s="7">
        <v>8.1999999999999993</v>
      </c>
      <c r="AD21" s="7">
        <v>373</v>
      </c>
      <c r="AE21" s="7">
        <v>21.5</v>
      </c>
      <c r="AF21" s="7">
        <v>48.5</v>
      </c>
      <c r="AG21" s="7">
        <v>1.24</v>
      </c>
      <c r="AH21" s="7">
        <v>0.24</v>
      </c>
      <c r="AI21" s="7">
        <v>162</v>
      </c>
      <c r="AJ21" s="7">
        <v>4.16</v>
      </c>
      <c r="AK21" s="7">
        <v>10.6</v>
      </c>
      <c r="AL21" s="7">
        <v>1.59</v>
      </c>
      <c r="AM21" s="7">
        <v>8.32</v>
      </c>
      <c r="AN21" s="7">
        <v>2.5099999999999998</v>
      </c>
      <c r="AO21" s="7">
        <v>0.98</v>
      </c>
      <c r="AP21" s="7">
        <v>3.41</v>
      </c>
      <c r="AQ21" s="7">
        <v>0.59</v>
      </c>
      <c r="AR21" s="7">
        <v>3.57</v>
      </c>
      <c r="AS21" s="7">
        <v>0.76</v>
      </c>
      <c r="AT21" s="7">
        <v>2.12</v>
      </c>
      <c r="AU21" s="7">
        <v>0.37</v>
      </c>
      <c r="AV21" s="7">
        <v>2.2400000000000002</v>
      </c>
      <c r="AW21" s="7">
        <v>0.34</v>
      </c>
      <c r="AX21" s="7">
        <v>1.48</v>
      </c>
      <c r="AY21" s="7">
        <v>6.4000000000000001E-2</v>
      </c>
      <c r="AZ21" s="7">
        <v>2</v>
      </c>
      <c r="BA21" s="7">
        <v>0.42</v>
      </c>
      <c r="BB21" s="7">
        <v>0.17</v>
      </c>
      <c r="BC21" s="1">
        <f t="shared" si="0"/>
        <v>5513.56</v>
      </c>
      <c r="BD21" s="1">
        <f t="shared" si="1"/>
        <v>698.24</v>
      </c>
      <c r="BE21" s="1">
        <f t="shared" si="2"/>
        <v>1.857142857142857</v>
      </c>
      <c r="BF21" s="1">
        <f t="shared" si="3"/>
        <v>2.2558139534883721</v>
      </c>
      <c r="BG21" s="1">
        <f t="shared" si="4"/>
        <v>2.9523809523809526</v>
      </c>
      <c r="BH21" s="1">
        <f t="shared" si="5"/>
        <v>0.29807692307692307</v>
      </c>
      <c r="BI21" s="1">
        <f t="shared" si="6"/>
        <v>6.6129032258064511</v>
      </c>
      <c r="BJ21" s="1">
        <f t="shared" si="7"/>
        <v>44.831730769230766</v>
      </c>
      <c r="BK21" s="1">
        <f t="shared" si="8"/>
        <v>1.6129032258064517</v>
      </c>
      <c r="BL21" s="1">
        <f t="shared" si="9"/>
        <v>0.24038461538461536</v>
      </c>
      <c r="BM21" s="1">
        <f t="shared" si="10"/>
        <v>130.64516129032259</v>
      </c>
      <c r="BN21" s="1">
        <f t="shared" si="11"/>
        <v>38.942307692307693</v>
      </c>
      <c r="BO21" s="1">
        <f t="shared" si="12"/>
        <v>0.1370967741935484</v>
      </c>
      <c r="BP21" s="1">
        <f t="shared" si="13"/>
        <v>1.6573705179282872</v>
      </c>
      <c r="BQ21" s="1">
        <f t="shared" si="14"/>
        <v>39.112903225806448</v>
      </c>
      <c r="BR21" s="1">
        <f t="shared" si="15"/>
        <v>0.55357142857142849</v>
      </c>
    </row>
    <row r="22" spans="1:70" ht="17.5" customHeight="1" x14ac:dyDescent="0.3">
      <c r="A22" s="1" t="s">
        <v>525</v>
      </c>
      <c r="B22" s="7" t="s">
        <v>512</v>
      </c>
      <c r="C22" s="7" t="s">
        <v>513</v>
      </c>
      <c r="D22" s="7" t="s">
        <v>514</v>
      </c>
      <c r="E22" s="1">
        <v>0.99972647428512573</v>
      </c>
      <c r="F22" s="7" t="s">
        <v>446</v>
      </c>
      <c r="G22" s="7">
        <v>50.14</v>
      </c>
      <c r="H22" s="7">
        <v>0.7</v>
      </c>
      <c r="I22" s="7">
        <v>14.86</v>
      </c>
      <c r="J22" s="7">
        <v>10.83</v>
      </c>
      <c r="K22" s="7">
        <v>0.18</v>
      </c>
      <c r="L22" s="7">
        <v>7.98</v>
      </c>
      <c r="M22" s="7">
        <v>11.84</v>
      </c>
      <c r="N22" s="7">
        <v>2.2799999999999998</v>
      </c>
      <c r="O22" s="7">
        <v>1.02</v>
      </c>
      <c r="P22" s="7">
        <v>0.2</v>
      </c>
      <c r="Q22" s="7">
        <v>-0.27</v>
      </c>
      <c r="R22" s="7">
        <v>99.25</v>
      </c>
      <c r="S22" s="7">
        <v>39</v>
      </c>
      <c r="T22" s="7">
        <v>291</v>
      </c>
      <c r="U22" s="7">
        <v>306</v>
      </c>
      <c r="V22" s="7">
        <v>42</v>
      </c>
      <c r="W22" s="7">
        <v>57</v>
      </c>
      <c r="X22" s="7">
        <v>159</v>
      </c>
      <c r="Y22" s="7">
        <v>84</v>
      </c>
      <c r="Z22" s="7">
        <v>16</v>
      </c>
      <c r="AA22" s="7"/>
      <c r="AB22" s="7"/>
      <c r="AC22" s="7">
        <v>17.899999999999999</v>
      </c>
      <c r="AD22" s="7">
        <v>459</v>
      </c>
      <c r="AE22" s="7">
        <v>14.7</v>
      </c>
      <c r="AF22" s="7">
        <v>47.3</v>
      </c>
      <c r="AG22" s="7">
        <v>1.45</v>
      </c>
      <c r="AH22" s="7">
        <v>0.34</v>
      </c>
      <c r="AI22" s="7">
        <v>196</v>
      </c>
      <c r="AJ22" s="7">
        <v>6.67</v>
      </c>
      <c r="AK22" s="7">
        <v>14.8</v>
      </c>
      <c r="AL22" s="7">
        <v>2.1800000000000002</v>
      </c>
      <c r="AM22" s="7">
        <v>10.3</v>
      </c>
      <c r="AN22" s="7">
        <v>2.65</v>
      </c>
      <c r="AO22" s="7">
        <v>0.81</v>
      </c>
      <c r="AP22" s="7">
        <v>2.62</v>
      </c>
      <c r="AQ22" s="7">
        <v>0.42</v>
      </c>
      <c r="AR22" s="7">
        <v>2.48</v>
      </c>
      <c r="AS22" s="7">
        <v>0.48</v>
      </c>
      <c r="AT22" s="7">
        <v>1.43</v>
      </c>
      <c r="AU22" s="7">
        <v>0.2</v>
      </c>
      <c r="AV22" s="7">
        <v>1.43</v>
      </c>
      <c r="AW22" s="7">
        <v>0.21</v>
      </c>
      <c r="AX22" s="7">
        <v>1.34</v>
      </c>
      <c r="AY22" s="7">
        <v>7.3999999999999996E-2</v>
      </c>
      <c r="AZ22" s="7">
        <v>3.5</v>
      </c>
      <c r="BA22" s="7">
        <v>1.04</v>
      </c>
      <c r="BB22" s="7">
        <v>0.38</v>
      </c>
      <c r="BC22" s="1">
        <f t="shared" si="0"/>
        <v>4195.1000000000004</v>
      </c>
      <c r="BD22" s="1">
        <f t="shared" si="1"/>
        <v>872.80000000000007</v>
      </c>
      <c r="BE22" s="1">
        <f t="shared" si="2"/>
        <v>4.6643356643356642</v>
      </c>
      <c r="BF22" s="1">
        <f t="shared" si="3"/>
        <v>3.2176870748299318</v>
      </c>
      <c r="BG22" s="1">
        <f t="shared" si="4"/>
        <v>1.3942307692307692</v>
      </c>
      <c r="BH22" s="1">
        <f t="shared" si="5"/>
        <v>0.21739130434782608</v>
      </c>
      <c r="BI22" s="1">
        <f t="shared" si="6"/>
        <v>12.344827586206897</v>
      </c>
      <c r="BJ22" s="1">
        <f t="shared" si="7"/>
        <v>44.5631067961165</v>
      </c>
      <c r="BK22" s="1">
        <f t="shared" si="8"/>
        <v>2.4137931034482758</v>
      </c>
      <c r="BL22" s="1">
        <f t="shared" si="9"/>
        <v>0.33980582524271841</v>
      </c>
      <c r="BM22" s="1">
        <f t="shared" si="10"/>
        <v>135.17241379310346</v>
      </c>
      <c r="BN22" s="1">
        <f t="shared" si="11"/>
        <v>29.385307346326837</v>
      </c>
      <c r="BO22" s="1">
        <f t="shared" si="12"/>
        <v>0.2620689655172414</v>
      </c>
      <c r="BP22" s="1">
        <f t="shared" si="13"/>
        <v>2.5169811320754718</v>
      </c>
      <c r="BQ22" s="1">
        <f t="shared" si="14"/>
        <v>32.620689655172413</v>
      </c>
      <c r="BR22" s="1">
        <f t="shared" si="15"/>
        <v>1.013986013986014</v>
      </c>
    </row>
    <row r="23" spans="1:70" ht="17.5" customHeight="1" x14ac:dyDescent="0.3">
      <c r="A23" s="1" t="s">
        <v>525</v>
      </c>
      <c r="B23" s="7" t="s">
        <v>515</v>
      </c>
      <c r="C23" s="7" t="s">
        <v>516</v>
      </c>
      <c r="D23" s="7" t="s">
        <v>517</v>
      </c>
      <c r="E23" s="1">
        <v>0.95100116729736328</v>
      </c>
      <c r="F23" s="7" t="s">
        <v>446</v>
      </c>
      <c r="G23" s="7">
        <v>51.35</v>
      </c>
      <c r="H23" s="7">
        <v>1</v>
      </c>
      <c r="I23" s="7">
        <v>14.24</v>
      </c>
      <c r="J23" s="7">
        <v>8.82</v>
      </c>
      <c r="K23" s="7">
        <v>0.15</v>
      </c>
      <c r="L23" s="7">
        <v>10.66</v>
      </c>
      <c r="M23" s="7">
        <v>10.46</v>
      </c>
      <c r="N23" s="7">
        <v>2.38</v>
      </c>
      <c r="O23" s="7">
        <v>0.74</v>
      </c>
      <c r="P23" s="7">
        <v>0.2</v>
      </c>
      <c r="Q23" s="7">
        <v>1.04</v>
      </c>
      <c r="R23" s="7">
        <v>99.07</v>
      </c>
      <c r="S23" s="7">
        <v>28</v>
      </c>
      <c r="T23" s="7">
        <v>193</v>
      </c>
      <c r="U23" s="7">
        <v>524</v>
      </c>
      <c r="V23" s="7">
        <v>41</v>
      </c>
      <c r="W23" s="7">
        <v>217</v>
      </c>
      <c r="X23" s="7">
        <v>64</v>
      </c>
      <c r="Y23" s="7">
        <v>63</v>
      </c>
      <c r="Z23" s="7">
        <v>14</v>
      </c>
      <c r="AA23" s="7">
        <v>7</v>
      </c>
      <c r="AB23" s="7">
        <v>0.65</v>
      </c>
      <c r="AC23" s="7">
        <v>12.8</v>
      </c>
      <c r="AD23" s="7">
        <v>413</v>
      </c>
      <c r="AE23" s="7">
        <v>18.2</v>
      </c>
      <c r="AF23" s="7">
        <v>93.7</v>
      </c>
      <c r="AG23" s="7">
        <v>5.71</v>
      </c>
      <c r="AH23" s="7">
        <v>0.26</v>
      </c>
      <c r="AI23" s="7">
        <v>89</v>
      </c>
      <c r="AJ23" s="7">
        <v>9.26</v>
      </c>
      <c r="AK23" s="7">
        <v>20.399999999999999</v>
      </c>
      <c r="AL23" s="7">
        <v>2.76</v>
      </c>
      <c r="AM23" s="7">
        <v>12.3</v>
      </c>
      <c r="AN23" s="7">
        <v>3.01</v>
      </c>
      <c r="AO23" s="7">
        <v>0.96</v>
      </c>
      <c r="AP23" s="7">
        <v>3.09</v>
      </c>
      <c r="AQ23" s="7">
        <v>0.49</v>
      </c>
      <c r="AR23" s="7">
        <v>2.98</v>
      </c>
      <c r="AS23" s="7">
        <v>0.6</v>
      </c>
      <c r="AT23" s="7">
        <v>1.74</v>
      </c>
      <c r="AU23" s="7">
        <v>0.28000000000000003</v>
      </c>
      <c r="AV23" s="7">
        <v>1.78</v>
      </c>
      <c r="AW23" s="7">
        <v>0.28000000000000003</v>
      </c>
      <c r="AX23" s="7">
        <v>2.25</v>
      </c>
      <c r="AY23" s="7">
        <v>0.373</v>
      </c>
      <c r="AZ23" s="7">
        <v>2.27</v>
      </c>
      <c r="BA23" s="7">
        <v>1.27</v>
      </c>
      <c r="BB23" s="7">
        <v>0.5</v>
      </c>
      <c r="BC23" s="1">
        <f t="shared" si="0"/>
        <v>5993.0000000000009</v>
      </c>
      <c r="BD23" s="1">
        <f t="shared" si="1"/>
        <v>872.80000000000007</v>
      </c>
      <c r="BE23" s="1">
        <f t="shared" si="2"/>
        <v>5.202247191011236</v>
      </c>
      <c r="BF23" s="1">
        <f t="shared" si="3"/>
        <v>5.1483516483516487</v>
      </c>
      <c r="BG23" s="1">
        <f t="shared" si="4"/>
        <v>4.4960629921259843</v>
      </c>
      <c r="BH23" s="1">
        <f t="shared" si="5"/>
        <v>0.61663066954643631</v>
      </c>
      <c r="BI23" s="1">
        <f t="shared" si="6"/>
        <v>2.2416812609457093</v>
      </c>
      <c r="BJ23" s="1">
        <f t="shared" si="7"/>
        <v>33.577235772357724</v>
      </c>
      <c r="BK23" s="1">
        <f t="shared" si="8"/>
        <v>0.39754816112084063</v>
      </c>
      <c r="BL23" s="1">
        <f t="shared" si="9"/>
        <v>0.18455284552845527</v>
      </c>
      <c r="BM23" s="1">
        <f t="shared" si="10"/>
        <v>15.586690017513135</v>
      </c>
      <c r="BN23" s="1">
        <f t="shared" si="11"/>
        <v>9.6112311015118799</v>
      </c>
      <c r="BO23" s="1">
        <f t="shared" si="12"/>
        <v>8.7565674255691769E-2</v>
      </c>
      <c r="BP23" s="1">
        <f t="shared" si="13"/>
        <v>3.0764119601328903</v>
      </c>
      <c r="BQ23" s="1">
        <f t="shared" si="14"/>
        <v>16.409807355516637</v>
      </c>
      <c r="BR23" s="1">
        <f t="shared" si="15"/>
        <v>3.2078651685393256</v>
      </c>
    </row>
    <row r="24" spans="1:70" ht="17.5" customHeight="1" x14ac:dyDescent="0.3">
      <c r="A24" s="1" t="s">
        <v>525</v>
      </c>
      <c r="B24" s="7" t="s">
        <v>518</v>
      </c>
      <c r="C24" s="7" t="s">
        <v>516</v>
      </c>
      <c r="D24" s="7" t="s">
        <v>517</v>
      </c>
      <c r="E24" s="1">
        <v>0.99819380044937134</v>
      </c>
      <c r="F24" s="7" t="s">
        <v>446</v>
      </c>
      <c r="G24" s="7">
        <v>56.85</v>
      </c>
      <c r="H24" s="7">
        <v>0.79</v>
      </c>
      <c r="I24" s="7">
        <v>16.96</v>
      </c>
      <c r="J24" s="7">
        <v>7.69</v>
      </c>
      <c r="K24" s="7">
        <v>0.15</v>
      </c>
      <c r="L24" s="7">
        <v>4.1500000000000004</v>
      </c>
      <c r="M24" s="7">
        <v>8.14</v>
      </c>
      <c r="N24" s="7">
        <v>3.02</v>
      </c>
      <c r="O24" s="7">
        <v>1.97</v>
      </c>
      <c r="P24" s="7">
        <v>0.31</v>
      </c>
      <c r="Q24" s="7">
        <v>0.37</v>
      </c>
      <c r="R24" s="7">
        <v>100.27</v>
      </c>
      <c r="S24" s="7">
        <v>24</v>
      </c>
      <c r="T24" s="7">
        <v>250</v>
      </c>
      <c r="U24" s="7">
        <v>36</v>
      </c>
      <c r="V24" s="7">
        <v>20</v>
      </c>
      <c r="W24" s="7">
        <v>17</v>
      </c>
      <c r="X24" s="7">
        <v>33</v>
      </c>
      <c r="Y24" s="7">
        <v>69</v>
      </c>
      <c r="Z24" s="7">
        <v>17</v>
      </c>
      <c r="AA24" s="7"/>
      <c r="AB24" s="7"/>
      <c r="AC24" s="7">
        <v>31.3</v>
      </c>
      <c r="AD24" s="7">
        <v>736</v>
      </c>
      <c r="AE24" s="7">
        <v>22.3</v>
      </c>
      <c r="AF24" s="7">
        <v>106</v>
      </c>
      <c r="AG24" s="7">
        <v>2.84</v>
      </c>
      <c r="AH24" s="7">
        <v>0.6</v>
      </c>
      <c r="AI24" s="7">
        <v>174</v>
      </c>
      <c r="AJ24" s="7">
        <v>13.7</v>
      </c>
      <c r="AK24" s="7">
        <v>29.1</v>
      </c>
      <c r="AL24" s="7">
        <v>3.99</v>
      </c>
      <c r="AM24" s="7">
        <v>19.2</v>
      </c>
      <c r="AN24" s="7">
        <v>4.26</v>
      </c>
      <c r="AO24" s="7">
        <v>1.35</v>
      </c>
      <c r="AP24" s="7">
        <v>4.3899999999999997</v>
      </c>
      <c r="AQ24" s="7">
        <v>0.66</v>
      </c>
      <c r="AR24" s="7">
        <v>3.73</v>
      </c>
      <c r="AS24" s="7">
        <v>0.78</v>
      </c>
      <c r="AT24" s="7">
        <v>2.11</v>
      </c>
      <c r="AU24" s="7">
        <v>0.35</v>
      </c>
      <c r="AV24" s="7">
        <v>2.31</v>
      </c>
      <c r="AW24" s="7">
        <v>0.36</v>
      </c>
      <c r="AX24" s="7">
        <v>2.88</v>
      </c>
      <c r="AY24" s="7">
        <v>0.186</v>
      </c>
      <c r="AZ24" s="7">
        <v>6.67</v>
      </c>
      <c r="BA24" s="7">
        <v>1.98</v>
      </c>
      <c r="BB24" s="7">
        <v>0.95</v>
      </c>
      <c r="BC24" s="1">
        <f t="shared" si="0"/>
        <v>4734.47</v>
      </c>
      <c r="BD24" s="1">
        <f t="shared" si="1"/>
        <v>1352.84</v>
      </c>
      <c r="BE24" s="1">
        <f t="shared" si="2"/>
        <v>5.9307359307359304</v>
      </c>
      <c r="BF24" s="1">
        <f t="shared" si="3"/>
        <v>4.7533632286995511</v>
      </c>
      <c r="BG24" s="1">
        <f t="shared" si="4"/>
        <v>1.4343434343434343</v>
      </c>
      <c r="BH24" s="1">
        <f t="shared" si="5"/>
        <v>0.2072992700729927</v>
      </c>
      <c r="BI24" s="1">
        <f t="shared" si="6"/>
        <v>11.021126760563382</v>
      </c>
      <c r="BJ24" s="1">
        <f t="shared" si="7"/>
        <v>38.333333333333336</v>
      </c>
      <c r="BK24" s="1">
        <f t="shared" si="8"/>
        <v>2.348591549295775</v>
      </c>
      <c r="BL24" s="1">
        <f t="shared" si="9"/>
        <v>0.34739583333333335</v>
      </c>
      <c r="BM24" s="1">
        <f t="shared" si="10"/>
        <v>61.267605633802823</v>
      </c>
      <c r="BN24" s="1">
        <f t="shared" si="11"/>
        <v>12.7007299270073</v>
      </c>
      <c r="BO24" s="1">
        <f t="shared" si="12"/>
        <v>0.33450704225352113</v>
      </c>
      <c r="BP24" s="1">
        <f t="shared" si="13"/>
        <v>3.215962441314554</v>
      </c>
      <c r="BQ24" s="1">
        <f t="shared" si="14"/>
        <v>37.323943661971832</v>
      </c>
      <c r="BR24" s="1">
        <f t="shared" si="15"/>
        <v>1.2294372294372293</v>
      </c>
    </row>
    <row r="25" spans="1:70" ht="17.5" customHeight="1" x14ac:dyDescent="0.3">
      <c r="A25" s="1" t="s">
        <v>525</v>
      </c>
      <c r="B25" s="7" t="s">
        <v>519</v>
      </c>
      <c r="C25" s="7" t="s">
        <v>520</v>
      </c>
      <c r="D25" s="7" t="s">
        <v>521</v>
      </c>
      <c r="E25" s="1">
        <v>0.99600642919540405</v>
      </c>
      <c r="F25" s="7" t="s">
        <v>446</v>
      </c>
      <c r="G25" s="7">
        <v>53.31</v>
      </c>
      <c r="H25" s="7">
        <v>0.71</v>
      </c>
      <c r="I25" s="7">
        <v>16.77</v>
      </c>
      <c r="J25" s="7">
        <v>9.94</v>
      </c>
      <c r="K25" s="7">
        <v>0.17</v>
      </c>
      <c r="L25" s="7">
        <v>5.58</v>
      </c>
      <c r="M25" s="7">
        <v>10</v>
      </c>
      <c r="N25" s="7">
        <v>2.42</v>
      </c>
      <c r="O25" s="7">
        <v>0.9</v>
      </c>
      <c r="P25" s="7">
        <v>0.23</v>
      </c>
      <c r="Q25" s="7">
        <v>0.37</v>
      </c>
      <c r="R25" s="7">
        <v>99.21</v>
      </c>
      <c r="S25" s="7">
        <v>34</v>
      </c>
      <c r="T25" s="7">
        <v>322</v>
      </c>
      <c r="U25" s="7">
        <v>48</v>
      </c>
      <c r="V25" s="7">
        <v>29</v>
      </c>
      <c r="W25" s="7">
        <v>48</v>
      </c>
      <c r="X25" s="7">
        <v>126</v>
      </c>
      <c r="Y25" s="7">
        <v>88</v>
      </c>
      <c r="Z25" s="7">
        <v>17</v>
      </c>
      <c r="AA25" s="7"/>
      <c r="AB25" s="7"/>
      <c r="AC25" s="7">
        <v>15.3</v>
      </c>
      <c r="AD25" s="7">
        <v>524</v>
      </c>
      <c r="AE25" s="7">
        <v>17.899999999999999</v>
      </c>
      <c r="AF25" s="7">
        <v>52.6</v>
      </c>
      <c r="AG25" s="7">
        <v>2.38</v>
      </c>
      <c r="AH25" s="7">
        <v>0.37</v>
      </c>
      <c r="AI25" s="7">
        <v>140</v>
      </c>
      <c r="AJ25" s="7">
        <v>9.6999999999999993</v>
      </c>
      <c r="AK25" s="7">
        <v>20.3</v>
      </c>
      <c r="AL25" s="7">
        <v>2.85</v>
      </c>
      <c r="AM25" s="7">
        <v>13</v>
      </c>
      <c r="AN25" s="7">
        <v>2.93</v>
      </c>
      <c r="AO25" s="7">
        <v>1</v>
      </c>
      <c r="AP25" s="7">
        <v>2.76</v>
      </c>
      <c r="AQ25" s="7">
        <v>0.47</v>
      </c>
      <c r="AR25" s="7">
        <v>2.74</v>
      </c>
      <c r="AS25" s="7">
        <v>0.56000000000000005</v>
      </c>
      <c r="AT25" s="7">
        <v>1.52</v>
      </c>
      <c r="AU25" s="7">
        <v>0.22</v>
      </c>
      <c r="AV25" s="7">
        <v>1.61</v>
      </c>
      <c r="AW25" s="7">
        <v>0.26</v>
      </c>
      <c r="AX25" s="7">
        <v>1.55</v>
      </c>
      <c r="AY25" s="7">
        <v>0.13300000000000001</v>
      </c>
      <c r="AZ25" s="7">
        <v>3.86</v>
      </c>
      <c r="BA25" s="7">
        <v>1.1399999999999999</v>
      </c>
      <c r="BB25" s="7">
        <v>0.53</v>
      </c>
      <c r="BC25" s="1">
        <f t="shared" si="0"/>
        <v>4255.0300000000007</v>
      </c>
      <c r="BD25" s="1">
        <f t="shared" si="1"/>
        <v>1003.72</v>
      </c>
      <c r="BE25" s="1">
        <f t="shared" si="2"/>
        <v>6.024844720496894</v>
      </c>
      <c r="BF25" s="1">
        <f t="shared" si="3"/>
        <v>2.9385474860335199</v>
      </c>
      <c r="BG25" s="1">
        <f t="shared" si="4"/>
        <v>2.0877192982456143</v>
      </c>
      <c r="BH25" s="1">
        <f t="shared" si="5"/>
        <v>0.24536082474226806</v>
      </c>
      <c r="BI25" s="1">
        <f t="shared" si="6"/>
        <v>6.4285714285714288</v>
      </c>
      <c r="BJ25" s="1">
        <f t="shared" si="7"/>
        <v>40.307692307692307</v>
      </c>
      <c r="BK25" s="1">
        <f t="shared" si="8"/>
        <v>1.6218487394957983</v>
      </c>
      <c r="BL25" s="1">
        <f t="shared" si="9"/>
        <v>0.2969230769230769</v>
      </c>
      <c r="BM25" s="1">
        <f t="shared" si="10"/>
        <v>58.82352941176471</v>
      </c>
      <c r="BN25" s="1">
        <f t="shared" si="11"/>
        <v>14.43298969072165</v>
      </c>
      <c r="BO25" s="1">
        <f t="shared" si="12"/>
        <v>0.22268907563025211</v>
      </c>
      <c r="BP25" s="1">
        <f t="shared" si="13"/>
        <v>3.3105802047781565</v>
      </c>
      <c r="BQ25" s="1">
        <f t="shared" si="14"/>
        <v>22.100840336134457</v>
      </c>
      <c r="BR25" s="1">
        <f t="shared" si="15"/>
        <v>1.4782608695652173</v>
      </c>
    </row>
    <row r="26" spans="1:70" ht="17.5" customHeight="1" x14ac:dyDescent="0.3">
      <c r="A26" s="1" t="s">
        <v>525</v>
      </c>
      <c r="B26" s="7" t="s">
        <v>522</v>
      </c>
      <c r="C26" s="7" t="s">
        <v>520</v>
      </c>
      <c r="D26" s="7" t="s">
        <v>521</v>
      </c>
      <c r="E26" s="1">
        <v>0.99953031539916992</v>
      </c>
      <c r="F26" s="7" t="s">
        <v>446</v>
      </c>
      <c r="G26" s="7">
        <v>53.37</v>
      </c>
      <c r="H26" s="7">
        <v>0.72</v>
      </c>
      <c r="I26" s="7">
        <v>16.579999999999998</v>
      </c>
      <c r="J26" s="7">
        <v>9.7899999999999991</v>
      </c>
      <c r="K26" s="7">
        <v>0.17</v>
      </c>
      <c r="L26" s="7">
        <v>5.64</v>
      </c>
      <c r="M26" s="7">
        <v>10.16</v>
      </c>
      <c r="N26" s="7">
        <v>2.5</v>
      </c>
      <c r="O26" s="7">
        <v>0.88</v>
      </c>
      <c r="P26" s="7">
        <v>0.23</v>
      </c>
      <c r="Q26" s="7">
        <v>0.54</v>
      </c>
      <c r="R26" s="7">
        <v>99.21</v>
      </c>
      <c r="S26" s="7">
        <v>38</v>
      </c>
      <c r="T26" s="7">
        <v>353</v>
      </c>
      <c r="U26" s="7">
        <v>70</v>
      </c>
      <c r="V26" s="7">
        <v>31</v>
      </c>
      <c r="W26" s="7">
        <v>24</v>
      </c>
      <c r="X26" s="7">
        <v>147</v>
      </c>
      <c r="Y26" s="7">
        <v>80</v>
      </c>
      <c r="Z26" s="7">
        <v>18</v>
      </c>
      <c r="AA26" s="7"/>
      <c r="AB26" s="7"/>
      <c r="AC26" s="7">
        <v>15.2</v>
      </c>
      <c r="AD26" s="7">
        <v>556</v>
      </c>
      <c r="AE26" s="7">
        <v>17.899999999999999</v>
      </c>
      <c r="AF26" s="7">
        <v>54.5</v>
      </c>
      <c r="AG26" s="7">
        <v>2.41</v>
      </c>
      <c r="AH26" s="7">
        <v>0.38</v>
      </c>
      <c r="AI26" s="7">
        <v>140</v>
      </c>
      <c r="AJ26" s="7">
        <v>10.199999999999999</v>
      </c>
      <c r="AK26" s="7">
        <v>20.9</v>
      </c>
      <c r="AL26" s="7">
        <v>3.01</v>
      </c>
      <c r="AM26" s="7">
        <v>13.6</v>
      </c>
      <c r="AN26" s="7">
        <v>3.25</v>
      </c>
      <c r="AO26" s="7">
        <v>1</v>
      </c>
      <c r="AP26" s="7">
        <v>3.04</v>
      </c>
      <c r="AQ26" s="7">
        <v>0.48</v>
      </c>
      <c r="AR26" s="7">
        <v>2.92</v>
      </c>
      <c r="AS26" s="7">
        <v>0.59</v>
      </c>
      <c r="AT26" s="7">
        <v>1.69</v>
      </c>
      <c r="AU26" s="7">
        <v>0.22</v>
      </c>
      <c r="AV26" s="7">
        <v>1.83</v>
      </c>
      <c r="AW26" s="7">
        <v>0.28000000000000003</v>
      </c>
      <c r="AX26" s="7">
        <v>1.48</v>
      </c>
      <c r="AY26" s="7">
        <v>0.14799999999999999</v>
      </c>
      <c r="AZ26" s="7">
        <v>3.3</v>
      </c>
      <c r="BA26" s="7">
        <v>1.21</v>
      </c>
      <c r="BB26" s="7">
        <v>0.56000000000000005</v>
      </c>
      <c r="BC26" s="1">
        <f t="shared" si="0"/>
        <v>4314.96</v>
      </c>
      <c r="BD26" s="1">
        <f t="shared" si="1"/>
        <v>1003.72</v>
      </c>
      <c r="BE26" s="1">
        <f t="shared" si="2"/>
        <v>5.5737704918032778</v>
      </c>
      <c r="BF26" s="1">
        <f t="shared" si="3"/>
        <v>3.044692737430168</v>
      </c>
      <c r="BG26" s="1">
        <f t="shared" si="4"/>
        <v>1.9917355371900829</v>
      </c>
      <c r="BH26" s="1">
        <f t="shared" si="5"/>
        <v>0.23627450980392159</v>
      </c>
      <c r="BI26" s="1">
        <f t="shared" si="6"/>
        <v>6.3070539419087126</v>
      </c>
      <c r="BJ26" s="1">
        <f t="shared" si="7"/>
        <v>40.882352941176471</v>
      </c>
      <c r="BK26" s="1">
        <f t="shared" si="8"/>
        <v>1.3692946058091284</v>
      </c>
      <c r="BL26" s="1">
        <f t="shared" si="9"/>
        <v>0.24264705882352941</v>
      </c>
      <c r="BM26" s="1">
        <f t="shared" si="10"/>
        <v>58.091286307053942</v>
      </c>
      <c r="BN26" s="1">
        <f t="shared" si="11"/>
        <v>13.725490196078432</v>
      </c>
      <c r="BO26" s="1">
        <f t="shared" si="12"/>
        <v>0.23236514522821577</v>
      </c>
      <c r="BP26" s="1">
        <f t="shared" si="13"/>
        <v>3.1384615384615384</v>
      </c>
      <c r="BQ26" s="1">
        <f t="shared" si="14"/>
        <v>22.614107883817425</v>
      </c>
      <c r="BR26" s="1">
        <f t="shared" si="15"/>
        <v>1.3169398907103826</v>
      </c>
    </row>
    <row r="27" spans="1:70" ht="17.5" customHeight="1" x14ac:dyDescent="0.3">
      <c r="A27" s="1" t="s">
        <v>525</v>
      </c>
      <c r="B27" s="7" t="s">
        <v>523</v>
      </c>
      <c r="C27" s="7" t="s">
        <v>520</v>
      </c>
      <c r="D27" s="7" t="s">
        <v>521</v>
      </c>
      <c r="E27" s="1">
        <v>0.99983024597167969</v>
      </c>
      <c r="F27" s="7" t="s">
        <v>446</v>
      </c>
      <c r="G27" s="7">
        <v>53.19</v>
      </c>
      <c r="H27" s="7">
        <v>0.7</v>
      </c>
      <c r="I27" s="7">
        <v>16.510000000000002</v>
      </c>
      <c r="J27" s="7">
        <v>9.86</v>
      </c>
      <c r="K27" s="7">
        <v>0.16</v>
      </c>
      <c r="L27" s="7">
        <v>5.52</v>
      </c>
      <c r="M27" s="7">
        <v>10.33</v>
      </c>
      <c r="N27" s="7">
        <v>2.5299999999999998</v>
      </c>
      <c r="O27" s="7">
        <v>0.97</v>
      </c>
      <c r="P27" s="7">
        <v>0.25</v>
      </c>
      <c r="Q27" s="7">
        <v>0.16</v>
      </c>
      <c r="R27" s="7">
        <v>99.73</v>
      </c>
      <c r="S27" s="7">
        <v>35</v>
      </c>
      <c r="T27" s="7">
        <v>340</v>
      </c>
      <c r="U27" s="7">
        <v>81</v>
      </c>
      <c r="V27" s="7">
        <v>29</v>
      </c>
      <c r="W27" s="7">
        <v>22</v>
      </c>
      <c r="X27" s="7">
        <v>41</v>
      </c>
      <c r="Y27" s="7">
        <v>78</v>
      </c>
      <c r="Z27" s="7">
        <v>18</v>
      </c>
      <c r="AA27" s="7">
        <v>8.8000000000000007</v>
      </c>
      <c r="AB27" s="7">
        <v>0.46</v>
      </c>
      <c r="AC27" s="7">
        <v>14.1</v>
      </c>
      <c r="AD27" s="7">
        <v>532</v>
      </c>
      <c r="AE27" s="7">
        <v>15.5</v>
      </c>
      <c r="AF27" s="7">
        <v>50</v>
      </c>
      <c r="AG27" s="7">
        <v>1.92</v>
      </c>
      <c r="AH27" s="7">
        <v>0.13</v>
      </c>
      <c r="AI27" s="7">
        <v>133</v>
      </c>
      <c r="AJ27" s="7">
        <v>8.73</v>
      </c>
      <c r="AK27" s="7">
        <v>19.100000000000001</v>
      </c>
      <c r="AL27" s="7">
        <v>2.76</v>
      </c>
      <c r="AM27" s="7">
        <v>12.5</v>
      </c>
      <c r="AN27" s="7">
        <v>3.04</v>
      </c>
      <c r="AO27" s="7">
        <v>0.96</v>
      </c>
      <c r="AP27" s="7">
        <v>3.03</v>
      </c>
      <c r="AQ27" s="7">
        <v>0.43</v>
      </c>
      <c r="AR27" s="7">
        <v>2.63</v>
      </c>
      <c r="AS27" s="7">
        <v>0.48</v>
      </c>
      <c r="AT27" s="7">
        <v>1.47</v>
      </c>
      <c r="AU27" s="7">
        <v>0.21</v>
      </c>
      <c r="AV27" s="7">
        <v>1.49</v>
      </c>
      <c r="AW27" s="7">
        <v>0.22</v>
      </c>
      <c r="AX27" s="7">
        <v>1.5</v>
      </c>
      <c r="AY27" s="7">
        <v>0.107</v>
      </c>
      <c r="AZ27" s="7">
        <v>2.23</v>
      </c>
      <c r="BA27" s="7">
        <v>1.06</v>
      </c>
      <c r="BB27" s="7">
        <v>0.49</v>
      </c>
      <c r="BC27" s="1">
        <f t="shared" si="0"/>
        <v>4195.1000000000004</v>
      </c>
      <c r="BD27" s="1">
        <f t="shared" si="1"/>
        <v>1091</v>
      </c>
      <c r="BE27" s="1">
        <f t="shared" si="2"/>
        <v>5.8590604026845643</v>
      </c>
      <c r="BF27" s="1">
        <f t="shared" si="3"/>
        <v>3.225806451612903</v>
      </c>
      <c r="BG27" s="1">
        <f t="shared" si="4"/>
        <v>1.811320754716981</v>
      </c>
      <c r="BH27" s="1">
        <f t="shared" si="5"/>
        <v>0.2199312714776632</v>
      </c>
      <c r="BI27" s="1">
        <f t="shared" si="6"/>
        <v>7.34375</v>
      </c>
      <c r="BJ27" s="1">
        <f t="shared" si="7"/>
        <v>42.56</v>
      </c>
      <c r="BK27" s="1">
        <f t="shared" si="8"/>
        <v>1.1614583333333333</v>
      </c>
      <c r="BL27" s="1">
        <f t="shared" si="9"/>
        <v>0.1784</v>
      </c>
      <c r="BM27" s="1">
        <f t="shared" si="10"/>
        <v>69.270833333333343</v>
      </c>
      <c r="BN27" s="1">
        <f t="shared" si="11"/>
        <v>15.234822451317296</v>
      </c>
      <c r="BO27" s="1">
        <f t="shared" si="12"/>
        <v>0.25520833333333331</v>
      </c>
      <c r="BP27" s="1">
        <f t="shared" si="13"/>
        <v>2.8717105263157894</v>
      </c>
      <c r="BQ27" s="1">
        <f t="shared" si="14"/>
        <v>26.041666666666668</v>
      </c>
      <c r="BR27" s="1">
        <f t="shared" si="15"/>
        <v>1.2885906040268456</v>
      </c>
    </row>
    <row r="28" spans="1:70" ht="17.5" customHeight="1" x14ac:dyDescent="0.3">
      <c r="A28" s="1" t="s">
        <v>525</v>
      </c>
      <c r="B28" s="7" t="s">
        <v>524</v>
      </c>
      <c r="C28" s="7" t="s">
        <v>520</v>
      </c>
      <c r="D28" s="7" t="s">
        <v>521</v>
      </c>
      <c r="E28" s="1">
        <v>0.99976497888565063</v>
      </c>
      <c r="F28" s="7" t="s">
        <v>446</v>
      </c>
      <c r="G28" s="7">
        <v>54.12</v>
      </c>
      <c r="H28" s="7">
        <v>0.71</v>
      </c>
      <c r="I28" s="7">
        <v>18.690000000000001</v>
      </c>
      <c r="J28" s="7">
        <v>8.76</v>
      </c>
      <c r="K28" s="7">
        <v>0.15</v>
      </c>
      <c r="L28" s="7">
        <v>4.08</v>
      </c>
      <c r="M28" s="7">
        <v>9.5</v>
      </c>
      <c r="N28" s="7">
        <v>2.72</v>
      </c>
      <c r="O28" s="7">
        <v>1.04</v>
      </c>
      <c r="P28" s="7">
        <v>0.25</v>
      </c>
      <c r="Q28" s="7">
        <v>0.55000000000000004</v>
      </c>
      <c r="R28" s="7">
        <v>99.12</v>
      </c>
      <c r="S28" s="7">
        <v>25</v>
      </c>
      <c r="T28" s="7">
        <v>296</v>
      </c>
      <c r="U28" s="7">
        <v>21</v>
      </c>
      <c r="V28" s="7">
        <v>22</v>
      </c>
      <c r="W28" s="7">
        <v>12</v>
      </c>
      <c r="X28" s="7">
        <v>88</v>
      </c>
      <c r="Y28" s="7">
        <v>77</v>
      </c>
      <c r="Z28" s="7">
        <v>19</v>
      </c>
      <c r="AA28" s="7"/>
      <c r="AB28" s="7"/>
      <c r="AC28" s="7">
        <v>16.8</v>
      </c>
      <c r="AD28" s="7">
        <v>558</v>
      </c>
      <c r="AE28" s="7">
        <v>16.3</v>
      </c>
      <c r="AF28" s="7">
        <v>58.7</v>
      </c>
      <c r="AG28" s="7">
        <v>2.16</v>
      </c>
      <c r="AH28" s="7">
        <v>0.34</v>
      </c>
      <c r="AI28" s="7">
        <v>143</v>
      </c>
      <c r="AJ28" s="7">
        <v>9.18</v>
      </c>
      <c r="AK28" s="7">
        <v>20.399999999999999</v>
      </c>
      <c r="AL28" s="7">
        <v>2.72</v>
      </c>
      <c r="AM28" s="7">
        <v>13.2</v>
      </c>
      <c r="AN28" s="7">
        <v>2.95</v>
      </c>
      <c r="AO28" s="7">
        <v>0.92</v>
      </c>
      <c r="AP28" s="7">
        <v>3</v>
      </c>
      <c r="AQ28" s="7">
        <v>0.52</v>
      </c>
      <c r="AR28" s="7">
        <v>2.81</v>
      </c>
      <c r="AS28" s="7">
        <v>0.57999999999999996</v>
      </c>
      <c r="AT28" s="7">
        <v>1.74</v>
      </c>
      <c r="AU28" s="7">
        <v>0.25</v>
      </c>
      <c r="AV28" s="7">
        <v>1.51</v>
      </c>
      <c r="AW28" s="7">
        <v>0.27</v>
      </c>
      <c r="AX28" s="7">
        <v>1.92</v>
      </c>
      <c r="AY28" s="7">
        <v>0.108</v>
      </c>
      <c r="AZ28" s="7">
        <v>3.36</v>
      </c>
      <c r="BA28" s="7">
        <v>1.1499999999999999</v>
      </c>
      <c r="BB28" s="7">
        <v>0.67</v>
      </c>
      <c r="BC28" s="1">
        <f t="shared" si="0"/>
        <v>4255.0300000000007</v>
      </c>
      <c r="BD28" s="1">
        <f t="shared" si="1"/>
        <v>1091</v>
      </c>
      <c r="BE28" s="1">
        <f t="shared" si="2"/>
        <v>6.0794701986754962</v>
      </c>
      <c r="BF28" s="1">
        <f t="shared" si="3"/>
        <v>3.6012269938650308</v>
      </c>
      <c r="BG28" s="1">
        <f t="shared" si="4"/>
        <v>1.8782608695652177</v>
      </c>
      <c r="BH28" s="1">
        <f t="shared" si="5"/>
        <v>0.23529411764705885</v>
      </c>
      <c r="BI28" s="1">
        <f t="shared" si="6"/>
        <v>7.7777777777777777</v>
      </c>
      <c r="BJ28" s="1">
        <f t="shared" si="7"/>
        <v>42.272727272727273</v>
      </c>
      <c r="BK28" s="1">
        <f t="shared" si="8"/>
        <v>1.5555555555555554</v>
      </c>
      <c r="BL28" s="1">
        <f t="shared" si="9"/>
        <v>0.25454545454545457</v>
      </c>
      <c r="BM28" s="1">
        <f t="shared" si="10"/>
        <v>66.203703703703695</v>
      </c>
      <c r="BN28" s="1">
        <f t="shared" si="11"/>
        <v>15.577342047930284</v>
      </c>
      <c r="BO28" s="1">
        <f t="shared" si="12"/>
        <v>0.31018518518518517</v>
      </c>
      <c r="BP28" s="1">
        <f t="shared" si="13"/>
        <v>3.1118644067796608</v>
      </c>
      <c r="BQ28" s="1">
        <f t="shared" si="14"/>
        <v>27.175925925925924</v>
      </c>
      <c r="BR28" s="1">
        <f t="shared" si="15"/>
        <v>1.4304635761589404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Northeast China</vt:lpstr>
      <vt:lpstr>Vanuatu 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 刘</dc:creator>
  <cp:lastModifiedBy>道友 文</cp:lastModifiedBy>
  <dcterms:created xsi:type="dcterms:W3CDTF">2023-11-24T01:42:44Z</dcterms:created>
  <dcterms:modified xsi:type="dcterms:W3CDTF">2025-12-05T02:39:52Z</dcterms:modified>
</cp:coreProperties>
</file>